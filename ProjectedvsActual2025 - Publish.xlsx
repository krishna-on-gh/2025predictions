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ocuments\Swing District Project\Final Project Dropbox\"/>
    </mc:Choice>
  </mc:AlternateContent>
  <xr:revisionPtr revIDLastSave="0" documentId="13_ncr:1_{0A6283DE-5966-436B-ADF1-067F54D9F5CE}" xr6:coauthVersionLast="47" xr6:coauthVersionMax="47" xr10:uidLastSave="{00000000-0000-0000-0000-000000000000}"/>
  <bookViews>
    <workbookView xWindow="-108" yWindow="-108" windowWidth="23256" windowHeight="13896" firstSheet="1" activeTab="1" xr2:uid="{900C110E-BC0A-4BF0-97D1-41E5F2CDB5EA}"/>
  </bookViews>
  <sheets>
    <sheet name="My Projections" sheetId="1" r:id="rId1"/>
    <sheet name="Entire Model" sheetId="3" r:id="rId2"/>
    <sheet name="Env weighting" sheetId="5" r:id="rId3"/>
    <sheet name="Env + No Incumbency" sheetId="6" r:id="rId4"/>
    <sheet name="If Gov Pred Was Right" sheetId="4" r:id="rId5"/>
  </sheets>
  <definedNames>
    <definedName name="_xlnm._FilterDatabase" localSheetId="1" hidden="1">'Entire Model'!$C$3:$J$3</definedName>
    <definedName name="_xlnm._FilterDatabase" localSheetId="3" hidden="1">'Env + No Incumbency'!$C$3:$J$3</definedName>
    <definedName name="_xlnm._FilterDatabase" localSheetId="2" hidden="1">'Env weighting'!$C$3:$J$3</definedName>
    <definedName name="_xlnm._FilterDatabase" localSheetId="0" hidden="1">'My Projections'!$C$3:$G$19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6" l="1"/>
  <c r="Q14" i="6" s="1"/>
  <c r="Q11" i="6"/>
  <c r="Q12" i="6" s="1"/>
  <c r="Q9" i="6"/>
  <c r="Q10" i="6" s="1"/>
  <c r="Q8" i="6"/>
  <c r="Q7" i="6"/>
  <c r="Q6" i="6"/>
  <c r="Q13" i="5"/>
  <c r="Q14" i="5" s="1"/>
  <c r="Q11" i="5"/>
  <c r="Q12" i="5" s="1"/>
  <c r="Q9" i="5"/>
  <c r="Q10" i="5" s="1"/>
  <c r="Q8" i="5"/>
  <c r="Q7" i="5"/>
  <c r="Q6" i="5"/>
  <c r="H21" i="6"/>
  <c r="F20" i="6"/>
  <c r="G20" i="6" s="1"/>
  <c r="H19" i="6"/>
  <c r="H18" i="6"/>
  <c r="H12" i="6"/>
  <c r="H11" i="6"/>
  <c r="F10" i="6"/>
  <c r="G10" i="6" s="1"/>
  <c r="F9" i="6"/>
  <c r="H8" i="6"/>
  <c r="H25" i="6"/>
  <c r="F25" i="6"/>
  <c r="G25" i="6" s="1"/>
  <c r="H24" i="6"/>
  <c r="F24" i="6"/>
  <c r="G24" i="6" s="1"/>
  <c r="H23" i="6"/>
  <c r="F23" i="6"/>
  <c r="G23" i="6" s="1"/>
  <c r="H22" i="6"/>
  <c r="F22" i="6"/>
  <c r="G22" i="6" s="1"/>
  <c r="F18" i="6"/>
  <c r="G18" i="6" s="1"/>
  <c r="H17" i="6"/>
  <c r="F17" i="6"/>
  <c r="G17" i="6" s="1"/>
  <c r="H16" i="6"/>
  <c r="F16" i="6"/>
  <c r="G16" i="6" s="1"/>
  <c r="H15" i="6"/>
  <c r="F15" i="6"/>
  <c r="G15" i="6" s="1"/>
  <c r="H14" i="6"/>
  <c r="F14" i="6"/>
  <c r="G14" i="6" s="1"/>
  <c r="H13" i="6"/>
  <c r="F13" i="6"/>
  <c r="G13" i="6" s="1"/>
  <c r="H7" i="6"/>
  <c r="F7" i="6"/>
  <c r="G7" i="6" s="1"/>
  <c r="H6" i="6"/>
  <c r="F6" i="6"/>
  <c r="G6" i="6" s="1"/>
  <c r="H5" i="6"/>
  <c r="F5" i="6"/>
  <c r="G5" i="6" s="1"/>
  <c r="H4" i="6"/>
  <c r="F4" i="6"/>
  <c r="L10" i="3"/>
  <c r="L6" i="4"/>
  <c r="L7" i="4"/>
  <c r="L8" i="4"/>
  <c r="L9" i="4" a="1"/>
  <c r="L9" i="4"/>
  <c r="L10" i="4"/>
  <c r="M12" i="1"/>
  <c r="F25" i="5"/>
  <c r="G25" i="5" s="1"/>
  <c r="F24" i="5"/>
  <c r="G24" i="5" s="1"/>
  <c r="F10" i="5"/>
  <c r="G10" i="5" s="1"/>
  <c r="H4" i="5"/>
  <c r="F7" i="5"/>
  <c r="G7" i="5" s="1"/>
  <c r="H13" i="5"/>
  <c r="H22" i="5"/>
  <c r="F6" i="5"/>
  <c r="G6" i="5" s="1"/>
  <c r="F15" i="5"/>
  <c r="G15" i="5" s="1"/>
  <c r="H5" i="5"/>
  <c r="F8" i="5"/>
  <c r="G8" i="5" s="1"/>
  <c r="H12" i="5"/>
  <c r="H10" i="5"/>
  <c r="H24" i="5"/>
  <c r="H20" i="5"/>
  <c r="H23" i="5"/>
  <c r="H19" i="5"/>
  <c r="H17" i="5"/>
  <c r="H25" i="5"/>
  <c r="H11" i="5"/>
  <c r="H21" i="5"/>
  <c r="H16" i="5"/>
  <c r="H9" i="5"/>
  <c r="H18" i="5"/>
  <c r="H14" i="5"/>
  <c r="H7" i="5"/>
  <c r="L12" i="3"/>
  <c r="L11" i="3"/>
  <c r="F5" i="5"/>
  <c r="G5" i="5" s="1"/>
  <c r="F9" i="5"/>
  <c r="G9" i="5" s="1"/>
  <c r="F11" i="5"/>
  <c r="G11" i="5" s="1"/>
  <c r="F12" i="5"/>
  <c r="G12" i="5" s="1"/>
  <c r="F14" i="5"/>
  <c r="G14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G4" i="3"/>
  <c r="F4" i="3"/>
  <c r="Q6" i="4"/>
  <c r="F8" i="6" l="1"/>
  <c r="G8" i="6" s="1"/>
  <c r="H9" i="6"/>
  <c r="F19" i="6"/>
  <c r="G19" i="6" s="1"/>
  <c r="H10" i="6"/>
  <c r="F11" i="6"/>
  <c r="G11" i="6" s="1"/>
  <c r="H20" i="6"/>
  <c r="F12" i="6"/>
  <c r="G12" i="6" s="1"/>
  <c r="F21" i="6"/>
  <c r="G21" i="6" s="1"/>
  <c r="I21" i="6" s="1"/>
  <c r="L11" i="6"/>
  <c r="L10" i="6"/>
  <c r="L8" i="6"/>
  <c r="L12" i="6"/>
  <c r="G4" i="6"/>
  <c r="G9" i="6"/>
  <c r="H6" i="5"/>
  <c r="F13" i="5"/>
  <c r="H15" i="5"/>
  <c r="F4" i="5"/>
  <c r="H8" i="5"/>
  <c r="G4" i="5" l="1"/>
  <c r="L11" i="5"/>
  <c r="L12" i="5"/>
  <c r="L8" i="5"/>
  <c r="I11" i="6"/>
  <c r="I19" i="6"/>
  <c r="I22" i="6"/>
  <c r="I5" i="6"/>
  <c r="I20" i="6"/>
  <c r="I12" i="6"/>
  <c r="I25" i="6"/>
  <c r="I24" i="6"/>
  <c r="I23" i="6"/>
  <c r="I6" i="6"/>
  <c r="I14" i="6"/>
  <c r="I13" i="6"/>
  <c r="I9" i="6"/>
  <c r="I15" i="6"/>
  <c r="I16" i="6"/>
  <c r="I18" i="6"/>
  <c r="I4" i="6"/>
  <c r="L6" i="6"/>
  <c r="L7" i="6"/>
  <c r="I10" i="6"/>
  <c r="I8" i="6"/>
  <c r="I7" i="6"/>
  <c r="I17" i="6"/>
  <c r="G13" i="5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4" i="4"/>
  <c r="F23" i="4"/>
  <c r="G23" i="4" s="1"/>
  <c r="H22" i="4"/>
  <c r="H21" i="4"/>
  <c r="H18" i="4"/>
  <c r="H17" i="4"/>
  <c r="H16" i="4"/>
  <c r="H15" i="4"/>
  <c r="H14" i="4"/>
  <c r="H13" i="4"/>
  <c r="H12" i="4"/>
  <c r="H11" i="4"/>
  <c r="H10" i="4"/>
  <c r="H9" i="4"/>
  <c r="H8" i="4"/>
  <c r="H5" i="4"/>
  <c r="H4" i="4"/>
  <c r="H25" i="4"/>
  <c r="F25" i="4"/>
  <c r="G25" i="4" s="1"/>
  <c r="H24" i="4"/>
  <c r="F24" i="4"/>
  <c r="G24" i="4" s="1"/>
  <c r="H23" i="4"/>
  <c r="F21" i="4"/>
  <c r="G21" i="4" s="1"/>
  <c r="H20" i="4"/>
  <c r="F20" i="4"/>
  <c r="G20" i="4" s="1"/>
  <c r="H19" i="4"/>
  <c r="F19" i="4"/>
  <c r="G19" i="4" s="1"/>
  <c r="H7" i="4"/>
  <c r="F7" i="4"/>
  <c r="G7" i="4" s="1"/>
  <c r="H6" i="4"/>
  <c r="F6" i="4"/>
  <c r="G6" i="4" s="1"/>
  <c r="F4" i="4"/>
  <c r="I13" i="5" l="1"/>
  <c r="L7" i="5"/>
  <c r="I5" i="5"/>
  <c r="I8" i="5"/>
  <c r="I9" i="5"/>
  <c r="I4" i="5"/>
  <c r="I10" i="5"/>
  <c r="I12" i="5"/>
  <c r="L6" i="5"/>
  <c r="L9" i="5" a="1"/>
  <c r="L9" i="5" s="1"/>
  <c r="J4" i="5" s="1"/>
  <c r="I6" i="5"/>
  <c r="I11" i="5"/>
  <c r="I22" i="5"/>
  <c r="I17" i="5"/>
  <c r="I16" i="5"/>
  <c r="I18" i="5"/>
  <c r="I7" i="5"/>
  <c r="I20" i="5"/>
  <c r="I24" i="5"/>
  <c r="I21" i="5"/>
  <c r="I19" i="5"/>
  <c r="I25" i="5"/>
  <c r="I14" i="5"/>
  <c r="I15" i="5"/>
  <c r="I23" i="5"/>
  <c r="L9" i="6" a="1"/>
  <c r="L9" i="6" s="1"/>
  <c r="J7" i="6" s="1"/>
  <c r="F11" i="4"/>
  <c r="G11" i="4" s="1"/>
  <c r="F12" i="4"/>
  <c r="G12" i="4" s="1"/>
  <c r="F13" i="4"/>
  <c r="G13" i="4" s="1"/>
  <c r="F22" i="4"/>
  <c r="G22" i="4" s="1"/>
  <c r="F5" i="4"/>
  <c r="G5" i="4" s="1"/>
  <c r="F14" i="4"/>
  <c r="G14" i="4" s="1"/>
  <c r="F15" i="4"/>
  <c r="G15" i="4" s="1"/>
  <c r="F8" i="4"/>
  <c r="G8" i="4" s="1"/>
  <c r="F16" i="4"/>
  <c r="G16" i="4" s="1"/>
  <c r="F9" i="4"/>
  <c r="G9" i="4" s="1"/>
  <c r="F17" i="4"/>
  <c r="G17" i="4" s="1"/>
  <c r="F10" i="4"/>
  <c r="G10" i="4" s="1"/>
  <c r="F18" i="4"/>
  <c r="G18" i="4" s="1"/>
  <c r="G4" i="4"/>
  <c r="J5" i="5" l="1"/>
  <c r="J6" i="5"/>
  <c r="J8" i="5"/>
  <c r="J9" i="5"/>
  <c r="J11" i="5"/>
  <c r="J12" i="5"/>
  <c r="J15" i="5"/>
  <c r="J14" i="5"/>
  <c r="J10" i="5"/>
  <c r="J19" i="5"/>
  <c r="J21" i="5"/>
  <c r="J18" i="5"/>
  <c r="J20" i="5"/>
  <c r="J24" i="5"/>
  <c r="J17" i="5"/>
  <c r="J16" i="5"/>
  <c r="J23" i="5"/>
  <c r="J7" i="5"/>
  <c r="J25" i="5"/>
  <c r="J22" i="5"/>
  <c r="J13" i="5"/>
  <c r="J24" i="6"/>
  <c r="J23" i="6"/>
  <c r="J5" i="6"/>
  <c r="J20" i="6"/>
  <c r="J19" i="6"/>
  <c r="J12" i="6"/>
  <c r="J11" i="6"/>
  <c r="J18" i="6"/>
  <c r="J16" i="6"/>
  <c r="J10" i="6"/>
  <c r="J6" i="6"/>
  <c r="J15" i="6"/>
  <c r="J21" i="6"/>
  <c r="J14" i="6"/>
  <c r="J13" i="6"/>
  <c r="J9" i="6"/>
  <c r="J25" i="6"/>
  <c r="J4" i="6"/>
  <c r="J17" i="6"/>
  <c r="J8" i="6"/>
  <c r="J22" i="6"/>
  <c r="Q8" i="4"/>
  <c r="Q7" i="4"/>
  <c r="Q9" i="4"/>
  <c r="F8" i="1"/>
  <c r="F9" i="1"/>
  <c r="F11" i="1"/>
  <c r="F6" i="1"/>
  <c r="F17" i="1"/>
  <c r="F4" i="1"/>
  <c r="F5" i="1"/>
  <c r="F7" i="1"/>
  <c r="F19" i="1"/>
  <c r="F16" i="1"/>
  <c r="F14" i="1"/>
  <c r="F13" i="1"/>
  <c r="F10" i="1"/>
  <c r="F15" i="1"/>
  <c r="F18" i="1"/>
  <c r="F12" i="1"/>
  <c r="F5" i="3"/>
  <c r="F6" i="3"/>
  <c r="F7" i="3"/>
  <c r="F8" i="3"/>
  <c r="G8" i="3" s="1"/>
  <c r="F9" i="3"/>
  <c r="F10" i="3"/>
  <c r="F11" i="3"/>
  <c r="F12" i="3"/>
  <c r="F13" i="3"/>
  <c r="F14" i="3"/>
  <c r="F15" i="3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F24" i="3"/>
  <c r="F25" i="3"/>
  <c r="M1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4" i="1"/>
  <c r="H6" i="3"/>
  <c r="H13" i="3"/>
  <c r="H22" i="3"/>
  <c r="H7" i="3"/>
  <c r="H24" i="3"/>
  <c r="H4" i="3"/>
  <c r="H10" i="3"/>
  <c r="H20" i="3"/>
  <c r="H19" i="3"/>
  <c r="H23" i="3"/>
  <c r="H17" i="3"/>
  <c r="H12" i="3"/>
  <c r="H9" i="3"/>
  <c r="H14" i="3"/>
  <c r="H18" i="3"/>
  <c r="H8" i="3"/>
  <c r="H15" i="3"/>
  <c r="H5" i="3"/>
  <c r="H11" i="3"/>
  <c r="H25" i="3"/>
  <c r="H21" i="3"/>
  <c r="H16" i="3"/>
  <c r="G5" i="3"/>
  <c r="G25" i="3"/>
  <c r="G10" i="3"/>
  <c r="G9" i="3"/>
  <c r="G7" i="3"/>
  <c r="G14" i="3"/>
  <c r="G15" i="3"/>
  <c r="G12" i="3"/>
  <c r="G6" i="3"/>
  <c r="G11" i="3"/>
  <c r="G23" i="3"/>
  <c r="G24" i="3"/>
  <c r="G13" i="3"/>
  <c r="Q10" i="4" l="1"/>
  <c r="J18" i="4"/>
  <c r="Q11" i="4"/>
  <c r="Q12" i="4" s="1"/>
  <c r="I24" i="3"/>
  <c r="I15" i="3"/>
  <c r="I7" i="3"/>
  <c r="L7" i="3"/>
  <c r="L9" i="3" s="1" a="1"/>
  <c r="L9" i="3" s="1"/>
  <c r="J19" i="3" s="1"/>
  <c r="I21" i="3"/>
  <c r="I25" i="3"/>
  <c r="I16" i="3"/>
  <c r="I5" i="3"/>
  <c r="I22" i="3"/>
  <c r="Q6" i="3"/>
  <c r="L8" i="3" s="1"/>
  <c r="I8" i="3"/>
  <c r="L6" i="3"/>
  <c r="I23" i="3"/>
  <c r="I9" i="3"/>
  <c r="I12" i="3"/>
  <c r="I17" i="3"/>
  <c r="Q7" i="3"/>
  <c r="Q8" i="3"/>
  <c r="I19" i="3"/>
  <c r="I6" i="3"/>
  <c r="I18" i="3"/>
  <c r="I14" i="3"/>
  <c r="Q9" i="3"/>
  <c r="I20" i="3"/>
  <c r="I4" i="3"/>
  <c r="I13" i="3"/>
  <c r="I10" i="3"/>
  <c r="I11" i="3"/>
  <c r="J15" i="4" l="1"/>
  <c r="J7" i="4"/>
  <c r="J23" i="4"/>
  <c r="J21" i="4"/>
  <c r="J20" i="4"/>
  <c r="J22" i="4"/>
  <c r="J25" i="4"/>
  <c r="J11" i="4"/>
  <c r="J9" i="4"/>
  <c r="J6" i="4"/>
  <c r="J13" i="4"/>
  <c r="J12" i="4"/>
  <c r="J14" i="4"/>
  <c r="J4" i="4"/>
  <c r="J19" i="4"/>
  <c r="J5" i="4"/>
  <c r="J8" i="4"/>
  <c r="J10" i="4"/>
  <c r="J17" i="4"/>
  <c r="J16" i="4"/>
  <c r="J24" i="4"/>
  <c r="J13" i="3"/>
  <c r="J14" i="3"/>
  <c r="J6" i="3"/>
  <c r="J12" i="3"/>
  <c r="J21" i="3"/>
  <c r="J22" i="3"/>
  <c r="J16" i="3"/>
  <c r="J25" i="3"/>
  <c r="J11" i="3"/>
  <c r="J8" i="3"/>
  <c r="J18" i="3"/>
  <c r="J15" i="3"/>
  <c r="Q11" i="3"/>
  <c r="Q12" i="3" s="1"/>
  <c r="J17" i="3"/>
  <c r="Q10" i="3"/>
  <c r="J9" i="3"/>
  <c r="J5" i="3"/>
  <c r="J10" i="3"/>
  <c r="J4" i="3"/>
  <c r="J23" i="3"/>
  <c r="J24" i="3"/>
  <c r="J7" i="3"/>
  <c r="J20" i="3"/>
  <c r="G12" i="1"/>
  <c r="G15" i="1"/>
  <c r="G19" i="1"/>
  <c r="G13" i="1"/>
  <c r="G14" i="1"/>
  <c r="G10" i="1"/>
  <c r="G8" i="1"/>
  <c r="G16" i="1"/>
  <c r="G6" i="1"/>
  <c r="G9" i="1"/>
  <c r="G4" i="1"/>
  <c r="G7" i="1"/>
  <c r="G5" i="1"/>
  <c r="G11" i="1"/>
  <c r="G18" i="1"/>
  <c r="G17" i="1"/>
  <c r="M10" i="1" l="1"/>
  <c r="Q13" i="4"/>
  <c r="Q14" i="4" s="1"/>
  <c r="I7" i="1"/>
  <c r="I6" i="1"/>
  <c r="I8" i="1"/>
  <c r="I5" i="1"/>
  <c r="M9" i="1"/>
  <c r="I9" i="1"/>
  <c r="I10" i="1"/>
  <c r="I11" i="1"/>
  <c r="I12" i="1"/>
  <c r="I13" i="1"/>
  <c r="I14" i="1"/>
  <c r="I15" i="1"/>
  <c r="I16" i="1"/>
  <c r="I17" i="1"/>
  <c r="I18" i="1"/>
  <c r="I19" i="1"/>
  <c r="I4" i="1"/>
  <c r="Q13" i="3"/>
  <c r="Q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 Vankayala</author>
  </authors>
  <commentList>
    <comment ref="F3" authorId="0" shapeId="0" xr:uid="{540B8BFF-0C64-445F-A6B8-01CBCA89785C}">
      <text>
        <r>
          <rPr>
            <b/>
            <sz val="9"/>
            <color indexed="81"/>
            <rFont val="Tahoma"/>
            <family val="2"/>
          </rPr>
          <t>Krishna Vankayala:</t>
        </r>
        <r>
          <rPr>
            <sz val="9"/>
            <color indexed="81"/>
            <rFont val="Tahoma"/>
            <family val="2"/>
          </rPr>
          <t xml:space="preserve">
Negative value = 
Actual result bluer than projection
Positive value = Actual result redder than projection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 Vankayala</author>
  </authors>
  <commentList>
    <comment ref="F3" authorId="0" shapeId="0" xr:uid="{D16A10BB-5868-4D46-A8E6-F60AAD6AE4C3}">
      <text>
        <r>
          <rPr>
            <b/>
            <sz val="9"/>
            <color indexed="81"/>
            <rFont val="Tahoma"/>
            <family val="2"/>
          </rPr>
          <t>Krishna Vankayala:</t>
        </r>
        <r>
          <rPr>
            <sz val="9"/>
            <color indexed="81"/>
            <rFont val="Tahoma"/>
            <family val="2"/>
          </rPr>
          <t xml:space="preserve">
Negative value = 
Actual result bluer than projection
Positive value = Actual result redder than projection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<sst xmlns="http://schemas.openxmlformats.org/spreadsheetml/2006/main" count="209" uniqueCount="49">
  <si>
    <t>Seat:</t>
  </si>
  <si>
    <t>HD-57</t>
  </si>
  <si>
    <t>HD-89</t>
  </si>
  <si>
    <t>HD-71</t>
  </si>
  <si>
    <t>HD-82</t>
  </si>
  <si>
    <t>HD-75</t>
  </si>
  <si>
    <t>HD-86</t>
  </si>
  <si>
    <t>HD-22</t>
  </si>
  <si>
    <t>HD-73</t>
  </si>
  <si>
    <t>HD-41</t>
  </si>
  <si>
    <t>HD-30</t>
  </si>
  <si>
    <t>HD-64</t>
  </si>
  <si>
    <t>HD-69</t>
  </si>
  <si>
    <t>HD-66</t>
  </si>
  <si>
    <t>HD-34</t>
  </si>
  <si>
    <t>HD-100</t>
  </si>
  <si>
    <t>HD-99</t>
  </si>
  <si>
    <t>Projected:</t>
  </si>
  <si>
    <t>Actual:</t>
  </si>
  <si>
    <t>Diff</t>
  </si>
  <si>
    <t>Abs Diff</t>
  </si>
  <si>
    <t>HD-65</t>
  </si>
  <si>
    <t>HD-97</t>
  </si>
  <si>
    <t>HD-83</t>
  </si>
  <si>
    <t>HD-74</t>
  </si>
  <si>
    <t>HD-52</t>
  </si>
  <si>
    <t>HD-49</t>
  </si>
  <si>
    <t>MEAN MISS:</t>
  </si>
  <si>
    <t>MEDIAN MISS:</t>
  </si>
  <si>
    <t>Accuracy</t>
  </si>
  <si>
    <t>ACCURACY BY PROJECTION:</t>
  </si>
  <si>
    <t>Accurate Projections OA:</t>
  </si>
  <si>
    <t>Accurate Projections &lt;2.5%:</t>
  </si>
  <si>
    <t>25th Quartile:</t>
  </si>
  <si>
    <t>75th Quartile:</t>
  </si>
  <si>
    <t>IQR:</t>
  </si>
  <si>
    <t>Z Scores:</t>
  </si>
  <si>
    <t xml:space="preserve">Outlier %: </t>
  </si>
  <si>
    <t>Mod Z:</t>
  </si>
  <si>
    <t>MEAN ABS. DEV.:</t>
  </si>
  <si>
    <t>Outlier Count Z Scores:</t>
  </si>
  <si>
    <t>Outlier Count Mod Z:</t>
  </si>
  <si>
    <t>Accuracy:</t>
  </si>
  <si>
    <t>Mean Miss:</t>
  </si>
  <si>
    <t>Median Miss:</t>
  </si>
  <si>
    <t>Accuracy of margin &lt; 2.5%:</t>
  </si>
  <si>
    <t>ACCURACY OF MARGIN &lt;=2.5%:</t>
  </si>
  <si>
    <t>MEDIAN UNW:</t>
  </si>
  <si>
    <t>MEAN UNW: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</si>
</sst>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2" borderId="0" xfId="0" applyFill="1"/>
    <xf numFmtId="9" fontId="0" fillId="0" borderId="0" xfId="1" applyFont="1"/>
    <xf numFmtId="10" fontId="0" fillId="0" borderId="0" xfId="1" applyNumberFormat="1" applyFont="1"/>
    <xf numFmtId="1" fontId="0" fillId="0" borderId="0" xfId="0" applyNumberFormat="1"/>
    <xf numFmtId="0" fontId="0" fillId="0" borderId="2" xfId="0" applyBorder="1"/>
    <xf numFmtId="164" fontId="0" fillId="0" borderId="0" xfId="1" applyNumberFormat="1" applyFont="1"/>
    <xf numFmtId="0" fontId="0" fillId="0" borderId="0" xfId="0" applyFont="1"/>
    <xf numFmtId="2" fontId="0" fillId="0" borderId="0" xfId="0" applyNumberFormat="1" applyFont="1"/>
    <xf numFmtId="164" fontId="1" fillId="0" borderId="0" xfId="1" applyNumberFormat="1" applyFont="1"/>
    <xf numFmtId="9" fontId="1" fillId="0" borderId="0" xfId="1" applyFont="1"/>
  </cellXfs>
  <cellStyles count="2">
    <cellStyle name="Normal" xfId="0" builtinId="0"/>
    <cellStyle name="Percent" xfId="1" builtinId="5"/>
  </cellStyles>
  <dxfs count="35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FB6C-1556-4169-A334-26842D96F622}">
  <dimension ref="C3:M19"/>
  <sheetViews>
    <sheetView zoomScale="111" workbookViewId="0">
      <selection activeCell="M13" sqref="M13"/>
    </sheetView>
  </sheetViews>
  <sheetFormatPr defaultRowHeight="14.4" x14ac:dyDescent="0.3"/>
  <cols>
    <col min="4" max="4" width="13.44140625" customWidth="1"/>
    <col min="5" max="5" width="11.33203125" customWidth="1"/>
    <col min="6" max="6" width="10.6640625" customWidth="1"/>
    <col min="7" max="7" width="11" customWidth="1"/>
    <col min="12" max="12" width="23.88671875" customWidth="1"/>
  </cols>
  <sheetData>
    <row r="3" spans="3:13" x14ac:dyDescent="0.3"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42</v>
      </c>
      <c r="I3" s="2" t="s">
        <v>36</v>
      </c>
      <c r="J3" s="7"/>
    </row>
    <row r="4" spans="3:13" x14ac:dyDescent="0.3">
      <c r="C4" t="s">
        <v>11</v>
      </c>
      <c r="D4" s="1">
        <v>-0.50999999999999801</v>
      </c>
      <c r="E4">
        <v>-6.48</v>
      </c>
      <c r="F4" s="1">
        <f>E4-D4</f>
        <v>-5.9700000000000024</v>
      </c>
      <c r="G4" s="1">
        <f>ABS(F4)</f>
        <v>5.9700000000000024</v>
      </c>
      <c r="H4" t="b">
        <f>IF(SIGN(D4) = SIGN(E4), TRUE, FALSE)</f>
        <v>1</v>
      </c>
      <c r="I4" t="b">
        <f>ABS((G4 - AVERAGE($G$4:$G$19)) / _xlfn.STDEV.P($G$4:$G$19)) &gt; 1.8</f>
        <v>1</v>
      </c>
    </row>
    <row r="5" spans="3:13" x14ac:dyDescent="0.3">
      <c r="C5" t="s">
        <v>13</v>
      </c>
      <c r="D5" s="1">
        <v>7.0000000000001172E-2</v>
      </c>
      <c r="E5">
        <v>-4.38</v>
      </c>
      <c r="F5" s="1">
        <f>E5-D5</f>
        <v>-4.4500000000000011</v>
      </c>
      <c r="G5" s="1">
        <f>ABS(F5)</f>
        <v>4.4500000000000011</v>
      </c>
      <c r="H5" t="b">
        <f t="shared" ref="H5:H19" si="0">IF(SIGN(D5) = SIGN(E5), TRUE, FALSE)</f>
        <v>0</v>
      </c>
      <c r="I5" t="b">
        <f t="shared" ref="I5:I19" si="1">ABS((G5 - AVERAGE($G$4:$G$19)) / _xlfn.STDEV.P($G$4:$G$19)) &gt; 1.8</f>
        <v>0</v>
      </c>
    </row>
    <row r="6" spans="3:13" x14ac:dyDescent="0.3">
      <c r="C6" t="s">
        <v>9</v>
      </c>
      <c r="D6" s="1">
        <v>-3.1966666666666654</v>
      </c>
      <c r="E6">
        <v>-6.7</v>
      </c>
      <c r="F6" s="1">
        <f>E6-D6</f>
        <v>-3.5033333333333347</v>
      </c>
      <c r="G6" s="1">
        <f>ABS(F6)</f>
        <v>3.5033333333333347</v>
      </c>
      <c r="H6" t="b">
        <f t="shared" si="0"/>
        <v>1</v>
      </c>
      <c r="I6" t="b">
        <f t="shared" si="1"/>
        <v>0</v>
      </c>
    </row>
    <row r="7" spans="3:13" x14ac:dyDescent="0.3">
      <c r="C7" t="s">
        <v>12</v>
      </c>
      <c r="D7" s="1">
        <v>3.3333333333333659E-2</v>
      </c>
      <c r="E7">
        <v>-3.3</v>
      </c>
      <c r="F7" s="1">
        <f>E7-D7</f>
        <v>-3.3333333333333335</v>
      </c>
      <c r="G7" s="1">
        <f>ABS(F7)</f>
        <v>3.3333333333333335</v>
      </c>
      <c r="H7" t="b">
        <f t="shared" si="0"/>
        <v>0</v>
      </c>
      <c r="I7" t="b">
        <f t="shared" si="1"/>
        <v>0</v>
      </c>
    </row>
    <row r="8" spans="3:13" x14ac:dyDescent="0.3">
      <c r="C8" t="s">
        <v>7</v>
      </c>
      <c r="D8" s="1">
        <v>-6.7633333333333301</v>
      </c>
      <c r="E8">
        <v>-9.93</v>
      </c>
      <c r="F8" s="1">
        <f>E8-D8</f>
        <v>-3.1666666666666696</v>
      </c>
      <c r="G8" s="1">
        <f>ABS(F8)</f>
        <v>3.1666666666666696</v>
      </c>
      <c r="H8" t="b">
        <f t="shared" si="0"/>
        <v>1</v>
      </c>
      <c r="I8" t="b">
        <f t="shared" si="1"/>
        <v>0</v>
      </c>
    </row>
    <row r="9" spans="3:13" x14ac:dyDescent="0.3">
      <c r="C9" t="s">
        <v>10</v>
      </c>
      <c r="D9" s="1">
        <v>-1.3066666666666653</v>
      </c>
      <c r="E9">
        <v>-1.93</v>
      </c>
      <c r="F9" s="1">
        <f>E9-D9</f>
        <v>-0.62333333333333463</v>
      </c>
      <c r="G9" s="1">
        <f>ABS(F9)</f>
        <v>0.62333333333333463</v>
      </c>
      <c r="H9" t="b">
        <f t="shared" si="0"/>
        <v>1</v>
      </c>
      <c r="I9" t="b">
        <f t="shared" si="1"/>
        <v>0</v>
      </c>
      <c r="L9" t="s">
        <v>43</v>
      </c>
      <c r="M9" s="1">
        <f>AVERAGE(G4:G19)</f>
        <v>2.3973541666666658</v>
      </c>
    </row>
    <row r="10" spans="3:13" x14ac:dyDescent="0.3">
      <c r="C10" t="s">
        <v>6</v>
      </c>
      <c r="D10" s="1">
        <v>-7.6399999999999979</v>
      </c>
      <c r="E10">
        <v>-7.94</v>
      </c>
      <c r="F10" s="1">
        <f>E10-D10</f>
        <v>-0.30000000000000249</v>
      </c>
      <c r="G10" s="1">
        <f>ABS(F10)</f>
        <v>0.30000000000000249</v>
      </c>
      <c r="H10" t="b">
        <f t="shared" si="0"/>
        <v>1</v>
      </c>
      <c r="I10" t="b">
        <f t="shared" si="1"/>
        <v>0</v>
      </c>
      <c r="L10" t="s">
        <v>44</v>
      </c>
      <c r="M10" s="1">
        <f>MEDIAN(G4:G19)</f>
        <v>2.3493333333333308</v>
      </c>
    </row>
    <row r="11" spans="3:13" x14ac:dyDescent="0.3">
      <c r="C11" t="s">
        <v>14</v>
      </c>
      <c r="D11" s="1">
        <v>0.91833333333333389</v>
      </c>
      <c r="E11">
        <v>0.89</v>
      </c>
      <c r="F11" s="1">
        <f>E11-D11</f>
        <v>-2.8333333333333877E-2</v>
      </c>
      <c r="G11" s="1">
        <f>ABS(F11)</f>
        <v>2.8333333333333877E-2</v>
      </c>
      <c r="H11" t="b">
        <f t="shared" si="0"/>
        <v>1</v>
      </c>
      <c r="I11" t="b">
        <f t="shared" si="1"/>
        <v>0</v>
      </c>
      <c r="L11" t="s">
        <v>42</v>
      </c>
      <c r="M11" s="5">
        <f>13/15</f>
        <v>0.8666666666666667</v>
      </c>
    </row>
    <row r="12" spans="3:13" x14ac:dyDescent="0.3">
      <c r="C12" t="s">
        <v>15</v>
      </c>
      <c r="D12" s="1">
        <v>4.8700000000000045</v>
      </c>
      <c r="E12">
        <v>5.86</v>
      </c>
      <c r="F12" s="1">
        <f>E12-D12</f>
        <v>0.98999999999999577</v>
      </c>
      <c r="G12" s="1">
        <f>ABS(F12)</f>
        <v>0.98999999999999577</v>
      </c>
      <c r="H12" t="b">
        <f t="shared" si="0"/>
        <v>1</v>
      </c>
      <c r="I12" t="b">
        <f t="shared" si="1"/>
        <v>0</v>
      </c>
      <c r="L12" t="s">
        <v>45</v>
      </c>
      <c r="M12" s="4">
        <f>(COUNT(F4,F6:F7,F14:F18, F9)/COUNT(F4:F19))</f>
        <v>0.5625</v>
      </c>
    </row>
    <row r="13" spans="3:13" x14ac:dyDescent="0.3">
      <c r="C13" t="s">
        <v>4</v>
      </c>
      <c r="D13" s="1">
        <v>-9.1633333333333322</v>
      </c>
      <c r="E13">
        <v>-7.79</v>
      </c>
      <c r="F13" s="1">
        <f>E13-D13</f>
        <v>1.3733333333333322</v>
      </c>
      <c r="G13" s="1">
        <f>ABS(F13)</f>
        <v>1.3733333333333322</v>
      </c>
      <c r="H13" t="b">
        <f t="shared" si="0"/>
        <v>1</v>
      </c>
      <c r="I13" t="b">
        <f t="shared" si="1"/>
        <v>0</v>
      </c>
    </row>
    <row r="14" spans="3:13" x14ac:dyDescent="0.3">
      <c r="C14" t="s">
        <v>5</v>
      </c>
      <c r="D14" s="1">
        <v>-7.8206666666666642</v>
      </c>
      <c r="E14">
        <v>-6.12</v>
      </c>
      <c r="F14" s="1">
        <f>E14-D14</f>
        <v>1.7006666666666641</v>
      </c>
      <c r="G14" s="1">
        <f>ABS(F14)</f>
        <v>1.7006666666666641</v>
      </c>
      <c r="H14" t="b">
        <f t="shared" si="0"/>
        <v>1</v>
      </c>
      <c r="I14" t="b">
        <f t="shared" si="1"/>
        <v>0</v>
      </c>
    </row>
    <row r="15" spans="3:13" x14ac:dyDescent="0.3">
      <c r="C15" t="s">
        <v>2</v>
      </c>
      <c r="D15" s="1">
        <v>-11.128666666666664</v>
      </c>
      <c r="E15">
        <v>-9.41</v>
      </c>
      <c r="F15" s="1">
        <f>E15-D15</f>
        <v>1.7186666666666639</v>
      </c>
      <c r="G15" s="1">
        <f>ABS(F15)</f>
        <v>1.7186666666666639</v>
      </c>
      <c r="H15" t="b">
        <f t="shared" si="0"/>
        <v>1</v>
      </c>
      <c r="I15" t="b">
        <f t="shared" si="1"/>
        <v>0</v>
      </c>
    </row>
    <row r="16" spans="3:13" x14ac:dyDescent="0.3">
      <c r="C16" t="s">
        <v>8</v>
      </c>
      <c r="D16" s="1">
        <v>-5.8613333333333317</v>
      </c>
      <c r="E16">
        <v>-3.66</v>
      </c>
      <c r="F16" s="1">
        <f>E16-D16</f>
        <v>2.2013333333333316</v>
      </c>
      <c r="G16" s="1">
        <f>ABS(F16)</f>
        <v>2.2013333333333316</v>
      </c>
      <c r="H16" t="b">
        <f t="shared" si="0"/>
        <v>1</v>
      </c>
      <c r="I16" t="b">
        <f t="shared" si="1"/>
        <v>0</v>
      </c>
    </row>
    <row r="17" spans="3:9" x14ac:dyDescent="0.3">
      <c r="C17" t="s">
        <v>1</v>
      </c>
      <c r="D17" s="1">
        <v>-13.727333333333331</v>
      </c>
      <c r="E17">
        <v>-11.23</v>
      </c>
      <c r="F17" s="1">
        <f>E17-D17</f>
        <v>2.4973333333333301</v>
      </c>
      <c r="G17" s="1">
        <f>ABS(F17)</f>
        <v>2.4973333333333301</v>
      </c>
      <c r="H17" t="b">
        <f t="shared" si="0"/>
        <v>1</v>
      </c>
      <c r="I17" t="b">
        <f t="shared" si="1"/>
        <v>0</v>
      </c>
    </row>
    <row r="18" spans="3:9" x14ac:dyDescent="0.3">
      <c r="C18" t="s">
        <v>16</v>
      </c>
      <c r="D18" s="1">
        <v>5.3026666666666689</v>
      </c>
      <c r="E18">
        <v>7.91</v>
      </c>
      <c r="F18" s="1">
        <f>E18-D18</f>
        <v>2.6073333333333313</v>
      </c>
      <c r="G18" s="1">
        <f>ABS(F18)</f>
        <v>2.6073333333333313</v>
      </c>
      <c r="H18" t="b">
        <f t="shared" si="0"/>
        <v>1</v>
      </c>
      <c r="I18" t="b">
        <f t="shared" si="1"/>
        <v>0</v>
      </c>
    </row>
    <row r="19" spans="3:9" x14ac:dyDescent="0.3">
      <c r="C19" t="s">
        <v>3</v>
      </c>
      <c r="D19" s="1">
        <v>-10.413999999999998</v>
      </c>
      <c r="E19">
        <v>-6.52</v>
      </c>
      <c r="F19" s="1">
        <f>E19-D19</f>
        <v>3.8939999999999984</v>
      </c>
      <c r="G19" s="1">
        <f>ABS(F19)</f>
        <v>3.8939999999999984</v>
      </c>
      <c r="H19" t="b">
        <f t="shared" si="0"/>
        <v>1</v>
      </c>
      <c r="I19" t="b">
        <f t="shared" si="1"/>
        <v>0</v>
      </c>
    </row>
  </sheetData>
  <autoFilter ref="C3:G19" xr:uid="{3656FB6C-1556-4169-A334-26842D96F622}">
    <sortState xmlns:xlrd2="http://schemas.microsoft.com/office/spreadsheetml/2017/richdata2" ref="C4:G19">
      <sortCondition ref="F3:F19"/>
    </sortState>
  </autoFilter>
  <conditionalFormatting sqref="F4:F19">
    <cfRule type="cellIs" dxfId="34" priority="1" operator="between">
      <formula>-1</formula>
      <formula>1</formula>
    </cfRule>
    <cfRule type="cellIs" dxfId="33" priority="2" operator="between">
      <formula>1</formula>
      <formula>2.5</formula>
    </cfRule>
    <cfRule type="cellIs" dxfId="32" priority="3" operator="between">
      <formula>-2.5</formula>
      <formula>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0180-06EF-411A-A57B-7718BF37DEA6}">
  <dimension ref="C3:Q25"/>
  <sheetViews>
    <sheetView tabSelected="1" topLeftCell="F1" zoomScale="111" workbookViewId="0">
      <selection activeCell="M22" sqref="M22"/>
    </sheetView>
  </sheetViews>
  <sheetFormatPr defaultRowHeight="14.4" x14ac:dyDescent="0.3"/>
  <cols>
    <col min="4" max="4" width="9.5546875" bestFit="1" customWidth="1"/>
    <col min="11" max="11" width="27.88671875" customWidth="1"/>
    <col min="12" max="12" width="10.5546875" bestFit="1" customWidth="1"/>
    <col min="16" max="16" width="24.109375" customWidth="1"/>
    <col min="17" max="17" width="10.5546875" bestFit="1" customWidth="1"/>
  </cols>
  <sheetData>
    <row r="3" spans="3:17" x14ac:dyDescent="0.3"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29</v>
      </c>
      <c r="I3" s="2" t="s">
        <v>36</v>
      </c>
      <c r="J3" s="2" t="s">
        <v>38</v>
      </c>
    </row>
    <row r="4" spans="3:17" x14ac:dyDescent="0.3">
      <c r="C4" t="s">
        <v>15</v>
      </c>
      <c r="D4">
        <v>4.8700000000000045</v>
      </c>
      <c r="E4">
        <v>5.86</v>
      </c>
      <c r="F4" s="1">
        <f>E4-D4</f>
        <v>0.98999999999999577</v>
      </c>
      <c r="G4" s="1">
        <f t="shared" ref="G4:G25" si="0">ABS(F4)</f>
        <v>0.98999999999999577</v>
      </c>
      <c r="H4" t="b">
        <f t="shared" ref="H4:H25" si="1">IF(SIGN(D4) = SIGN(E4), TRUE, FALSE)</f>
        <v>1</v>
      </c>
      <c r="I4" t="b">
        <f t="shared" ref="I4:I25" si="2">ABS((G4 - AVERAGE($G$4:$G$25)) / _xlfn.STDEV.P($G$4:$G$25)) &gt; 1.5</f>
        <v>0</v>
      </c>
      <c r="J4" t="b">
        <f t="shared" ref="J4:J25" si="3">ABS(0.6745 * (G4 - $L$7) / $L$9) &gt; 1.5</f>
        <v>0</v>
      </c>
    </row>
    <row r="5" spans="3:17" x14ac:dyDescent="0.3">
      <c r="C5" t="s">
        <v>7</v>
      </c>
      <c r="D5" s="1">
        <v>-6.7633333333333301</v>
      </c>
      <c r="E5">
        <v>-9.93</v>
      </c>
      <c r="F5" s="1">
        <f t="shared" ref="F5:F25" si="4">E5-D5</f>
        <v>-3.1666666666666696</v>
      </c>
      <c r="G5" s="1">
        <f t="shared" si="0"/>
        <v>3.1666666666666696</v>
      </c>
      <c r="H5" t="b">
        <f t="shared" si="1"/>
        <v>1</v>
      </c>
      <c r="I5" t="b">
        <f t="shared" si="2"/>
        <v>0</v>
      </c>
      <c r="J5" t="b">
        <f t="shared" si="3"/>
        <v>0</v>
      </c>
    </row>
    <row r="6" spans="3:17" x14ac:dyDescent="0.3">
      <c r="C6" t="s">
        <v>10</v>
      </c>
      <c r="D6" s="1">
        <v>-1.3066666666666653</v>
      </c>
      <c r="E6">
        <v>-1.93</v>
      </c>
      <c r="F6" s="1">
        <f t="shared" si="4"/>
        <v>-0.62333333333333463</v>
      </c>
      <c r="G6" s="1">
        <f t="shared" si="0"/>
        <v>0.62333333333333463</v>
      </c>
      <c r="H6" t="b">
        <f t="shared" si="1"/>
        <v>1</v>
      </c>
      <c r="I6" t="b">
        <f t="shared" si="2"/>
        <v>0</v>
      </c>
      <c r="J6" t="b">
        <f t="shared" si="3"/>
        <v>0</v>
      </c>
      <c r="K6" t="s">
        <v>27</v>
      </c>
      <c r="L6" s="1">
        <f>AVERAGE($G$4:$G$25)</f>
        <v>2.4595909090909092</v>
      </c>
      <c r="P6" t="s">
        <v>31</v>
      </c>
      <c r="Q6">
        <f>COUNTIF(H4:H25, TRUE)</f>
        <v>20</v>
      </c>
    </row>
    <row r="7" spans="3:17" x14ac:dyDescent="0.3">
      <c r="C7" t="s">
        <v>14</v>
      </c>
      <c r="D7" s="1">
        <v>0.91833333333333389</v>
      </c>
      <c r="E7">
        <v>0.89</v>
      </c>
      <c r="F7" s="1">
        <f t="shared" si="4"/>
        <v>-2.8333333333333877E-2</v>
      </c>
      <c r="G7" s="1">
        <f t="shared" si="0"/>
        <v>2.8333333333333877E-2</v>
      </c>
      <c r="H7" t="b">
        <f t="shared" si="1"/>
        <v>1</v>
      </c>
      <c r="I7" t="b">
        <f t="shared" si="2"/>
        <v>0</v>
      </c>
      <c r="J7" t="b">
        <f t="shared" si="3"/>
        <v>0</v>
      </c>
      <c r="K7" t="s">
        <v>28</v>
      </c>
      <c r="L7" s="1">
        <f>MEDIAN($G$4:$G$25)</f>
        <v>2.3493333333333308</v>
      </c>
      <c r="P7" t="s">
        <v>32</v>
      </c>
      <c r="Q7">
        <f>COUNTIF(G4:G25, "&lt; 2.5")</f>
        <v>12</v>
      </c>
    </row>
    <row r="8" spans="3:17" x14ac:dyDescent="0.3">
      <c r="C8" t="s">
        <v>9</v>
      </c>
      <c r="D8" s="1">
        <v>-3.1966666666666654</v>
      </c>
      <c r="E8">
        <v>-6.7</v>
      </c>
      <c r="F8" s="1">
        <f t="shared" si="4"/>
        <v>-3.5033333333333347</v>
      </c>
      <c r="G8" s="1">
        <f t="shared" si="0"/>
        <v>3.5033333333333347</v>
      </c>
      <c r="H8" t="b">
        <f t="shared" si="1"/>
        <v>1</v>
      </c>
      <c r="I8" t="b">
        <f t="shared" si="2"/>
        <v>0</v>
      </c>
      <c r="J8" t="b">
        <f t="shared" si="3"/>
        <v>0</v>
      </c>
      <c r="K8" t="s">
        <v>30</v>
      </c>
      <c r="L8" s="8">
        <f>Q6/22</f>
        <v>0.90909090909090906</v>
      </c>
      <c r="P8" t="s">
        <v>33</v>
      </c>
      <c r="Q8" s="1">
        <f>_xlfn.QUARTILE.INC(G4:G25, 1)</f>
        <v>1.0254999999999979</v>
      </c>
    </row>
    <row r="9" spans="3:17" x14ac:dyDescent="0.3">
      <c r="C9" t="s">
        <v>26</v>
      </c>
      <c r="D9" s="1">
        <v>11.525000000000002</v>
      </c>
      <c r="E9">
        <v>6.01</v>
      </c>
      <c r="F9" s="1">
        <f t="shared" si="4"/>
        <v>-5.5150000000000023</v>
      </c>
      <c r="G9" s="1">
        <f t="shared" si="0"/>
        <v>5.5150000000000023</v>
      </c>
      <c r="H9" t="b">
        <f t="shared" si="1"/>
        <v>1</v>
      </c>
      <c r="I9" t="b">
        <f t="shared" si="2"/>
        <v>1</v>
      </c>
      <c r="J9" t="b">
        <f t="shared" si="3"/>
        <v>1</v>
      </c>
      <c r="K9" t="s">
        <v>39</v>
      </c>
      <c r="L9" s="1" cm="1">
        <f t="array" ref="L9">MEDIAN(ABS($G$4:$G$25 - L7))</f>
        <v>1.2923333333333331</v>
      </c>
      <c r="P9" t="s">
        <v>34</v>
      </c>
      <c r="Q9" s="1">
        <f>_xlfn.QUARTILE.INC(G4:G25, 3)</f>
        <v>3.4608333333333343</v>
      </c>
    </row>
    <row r="10" spans="3:17" x14ac:dyDescent="0.3">
      <c r="C10" t="s">
        <v>25</v>
      </c>
      <c r="D10">
        <v>10.570000000000002</v>
      </c>
      <c r="E10">
        <v>11.69</v>
      </c>
      <c r="F10" s="1">
        <f t="shared" si="4"/>
        <v>1.1199999999999974</v>
      </c>
      <c r="G10" s="1">
        <f t="shared" si="0"/>
        <v>1.1199999999999974</v>
      </c>
      <c r="H10" t="b">
        <f t="shared" si="1"/>
        <v>1</v>
      </c>
      <c r="I10" t="b">
        <f t="shared" si="2"/>
        <v>0</v>
      </c>
      <c r="J10" t="b">
        <f t="shared" si="3"/>
        <v>0</v>
      </c>
      <c r="K10" t="s">
        <v>46</v>
      </c>
      <c r="L10" s="8">
        <f>(COUNT(F4,F6:F7,F10,F11,F13,F17,F19:F20,F22:F24)/COUNT(F4:F25))</f>
        <v>0.54545454545454541</v>
      </c>
      <c r="P10" t="s">
        <v>35</v>
      </c>
      <c r="Q10" s="1">
        <f>Q9-Q8</f>
        <v>2.4353333333333365</v>
      </c>
    </row>
    <row r="11" spans="3:17" x14ac:dyDescent="0.3">
      <c r="C11" t="s">
        <v>1</v>
      </c>
      <c r="D11" s="1">
        <v>-13.727333333333331</v>
      </c>
      <c r="E11">
        <v>-11.23</v>
      </c>
      <c r="F11" s="1">
        <f t="shared" si="4"/>
        <v>2.4973333333333301</v>
      </c>
      <c r="G11" s="1">
        <f t="shared" si="0"/>
        <v>2.4973333333333301</v>
      </c>
      <c r="H11" t="b">
        <f t="shared" si="1"/>
        <v>1</v>
      </c>
      <c r="I11" t="b">
        <f t="shared" si="2"/>
        <v>0</v>
      </c>
      <c r="J11" t="b">
        <f t="shared" si="3"/>
        <v>0</v>
      </c>
      <c r="K11" t="s">
        <v>48</v>
      </c>
      <c r="L11" s="1">
        <f>AVERAGE(F4:F25)</f>
        <v>-0.43110606060606271</v>
      </c>
      <c r="P11" t="s">
        <v>40</v>
      </c>
      <c r="Q11" s="6">
        <f>COUNTIF($I$4:$I$25, TRUE)</f>
        <v>2</v>
      </c>
    </row>
    <row r="12" spans="3:17" x14ac:dyDescent="0.3">
      <c r="C12" t="s">
        <v>11</v>
      </c>
      <c r="D12" s="1">
        <v>-0.50999999999999801</v>
      </c>
      <c r="E12">
        <v>-6.48</v>
      </c>
      <c r="F12" s="1">
        <f t="shared" si="4"/>
        <v>-5.9700000000000024</v>
      </c>
      <c r="G12" s="1">
        <f t="shared" si="0"/>
        <v>5.9700000000000024</v>
      </c>
      <c r="H12" t="b">
        <f t="shared" si="1"/>
        <v>1</v>
      </c>
      <c r="I12" t="b">
        <f t="shared" si="2"/>
        <v>1</v>
      </c>
      <c r="J12" t="b">
        <f t="shared" si="3"/>
        <v>1</v>
      </c>
      <c r="K12" t="s">
        <v>47</v>
      </c>
      <c r="L12" s="1">
        <f>MEDIAN(F4:F25)</f>
        <v>0.48083333333333089</v>
      </c>
      <c r="P12" t="s">
        <v>37</v>
      </c>
      <c r="Q12" s="5">
        <f>$Q$11/COUNTA($I$4:$I$25)</f>
        <v>9.0909090909090912E-2</v>
      </c>
    </row>
    <row r="13" spans="3:17" x14ac:dyDescent="0.3">
      <c r="C13" s="3" t="s">
        <v>21</v>
      </c>
      <c r="D13" s="1">
        <v>-17.738333333333333</v>
      </c>
      <c r="E13">
        <v>-17.96</v>
      </c>
      <c r="F13" s="1">
        <f t="shared" si="4"/>
        <v>-0.22166666666666757</v>
      </c>
      <c r="G13" s="1">
        <f t="shared" si="0"/>
        <v>0.22166666666666757</v>
      </c>
      <c r="H13" t="b">
        <f t="shared" si="1"/>
        <v>1</v>
      </c>
      <c r="I13" t="b">
        <f t="shared" si="2"/>
        <v>0</v>
      </c>
      <c r="J13" t="b">
        <f t="shared" si="3"/>
        <v>0</v>
      </c>
      <c r="P13" t="s">
        <v>41</v>
      </c>
      <c r="Q13">
        <f>COUNTIF($J$4:$J$25, TRUE)</f>
        <v>2</v>
      </c>
    </row>
    <row r="14" spans="3:17" x14ac:dyDescent="0.3">
      <c r="C14" t="s">
        <v>13</v>
      </c>
      <c r="D14" s="1">
        <v>7.0000000000001172E-2</v>
      </c>
      <c r="E14">
        <v>-4.38</v>
      </c>
      <c r="F14" s="1">
        <f t="shared" si="4"/>
        <v>-4.4500000000000011</v>
      </c>
      <c r="G14" s="1">
        <f t="shared" si="0"/>
        <v>4.4500000000000011</v>
      </c>
      <c r="H14" t="b">
        <f t="shared" si="1"/>
        <v>0</v>
      </c>
      <c r="I14" t="b">
        <f t="shared" si="2"/>
        <v>0</v>
      </c>
      <c r="J14" t="b">
        <f t="shared" si="3"/>
        <v>0</v>
      </c>
      <c r="P14" t="s">
        <v>37</v>
      </c>
      <c r="Q14" s="5">
        <f>$Q$13/COUNTA($J$4:$J$25)</f>
        <v>9.0909090909090912E-2</v>
      </c>
    </row>
    <row r="15" spans="3:17" x14ac:dyDescent="0.3">
      <c r="C15" t="s">
        <v>12</v>
      </c>
      <c r="D15" s="1">
        <v>3.3333333333333659E-2</v>
      </c>
      <c r="E15">
        <v>-3.3</v>
      </c>
      <c r="F15" s="1">
        <f t="shared" si="4"/>
        <v>-3.3333333333333335</v>
      </c>
      <c r="G15" s="1">
        <f t="shared" si="0"/>
        <v>3.3333333333333335</v>
      </c>
      <c r="H15" t="b">
        <f t="shared" si="1"/>
        <v>0</v>
      </c>
      <c r="I15" t="b">
        <f t="shared" si="2"/>
        <v>0</v>
      </c>
      <c r="J15" t="b">
        <f t="shared" si="3"/>
        <v>0</v>
      </c>
    </row>
    <row r="16" spans="3:17" x14ac:dyDescent="0.3">
      <c r="C16" t="s">
        <v>3</v>
      </c>
      <c r="D16" s="1">
        <v>-10.413999999999998</v>
      </c>
      <c r="E16">
        <v>-6.52</v>
      </c>
      <c r="F16" s="1">
        <f t="shared" si="4"/>
        <v>3.8939999999999984</v>
      </c>
      <c r="G16" s="1">
        <f t="shared" si="0"/>
        <v>3.8939999999999984</v>
      </c>
      <c r="H16" t="b">
        <f t="shared" si="1"/>
        <v>1</v>
      </c>
      <c r="I16" t="b">
        <f t="shared" si="2"/>
        <v>0</v>
      </c>
      <c r="J16" t="b">
        <f t="shared" si="3"/>
        <v>0</v>
      </c>
    </row>
    <row r="17" spans="3:10" x14ac:dyDescent="0.3">
      <c r="C17" t="s">
        <v>8</v>
      </c>
      <c r="D17" s="1">
        <v>-5.8613333333333317</v>
      </c>
      <c r="E17">
        <v>-3.66</v>
      </c>
      <c r="F17" s="1">
        <f t="shared" si="4"/>
        <v>2.2013333333333316</v>
      </c>
      <c r="G17" s="1">
        <f t="shared" si="0"/>
        <v>2.2013333333333316</v>
      </c>
      <c r="H17" t="b">
        <f t="shared" si="1"/>
        <v>1</v>
      </c>
      <c r="I17" t="b">
        <f t="shared" si="2"/>
        <v>0</v>
      </c>
      <c r="J17" t="b">
        <f t="shared" si="3"/>
        <v>0</v>
      </c>
    </row>
    <row r="18" spans="3:10" x14ac:dyDescent="0.3">
      <c r="C18" t="s">
        <v>24</v>
      </c>
      <c r="D18" s="1">
        <v>9.7260000000000026</v>
      </c>
      <c r="E18">
        <v>5.04</v>
      </c>
      <c r="F18" s="1">
        <f t="shared" si="4"/>
        <v>-4.6860000000000026</v>
      </c>
      <c r="G18" s="1">
        <f t="shared" si="0"/>
        <v>4.6860000000000026</v>
      </c>
      <c r="H18" t="b">
        <f t="shared" si="1"/>
        <v>1</v>
      </c>
      <c r="I18" t="b">
        <f t="shared" si="2"/>
        <v>0</v>
      </c>
      <c r="J18" t="b">
        <f t="shared" si="3"/>
        <v>0</v>
      </c>
    </row>
    <row r="19" spans="3:10" x14ac:dyDescent="0.3">
      <c r="C19" t="s">
        <v>5</v>
      </c>
      <c r="D19" s="1">
        <v>-7.8206666666666642</v>
      </c>
      <c r="E19">
        <v>-6.12</v>
      </c>
      <c r="F19" s="1">
        <f t="shared" si="4"/>
        <v>1.7006666666666641</v>
      </c>
      <c r="G19" s="1">
        <f t="shared" si="0"/>
        <v>1.7006666666666641</v>
      </c>
      <c r="H19" t="b">
        <f t="shared" si="1"/>
        <v>1</v>
      </c>
      <c r="I19" t="b">
        <f t="shared" si="2"/>
        <v>0</v>
      </c>
      <c r="J19" t="b">
        <f t="shared" si="3"/>
        <v>0</v>
      </c>
    </row>
    <row r="20" spans="3:10" x14ac:dyDescent="0.3">
      <c r="C20" t="s">
        <v>4</v>
      </c>
      <c r="D20" s="1">
        <v>-9.1633333333333322</v>
      </c>
      <c r="E20">
        <v>-7.79</v>
      </c>
      <c r="F20" s="1">
        <f t="shared" si="4"/>
        <v>1.3733333333333322</v>
      </c>
      <c r="G20" s="1">
        <f t="shared" si="0"/>
        <v>1.3733333333333322</v>
      </c>
      <c r="H20" t="b">
        <f t="shared" si="1"/>
        <v>1</v>
      </c>
      <c r="I20" t="b">
        <f t="shared" si="2"/>
        <v>0</v>
      </c>
      <c r="J20" t="b">
        <f t="shared" si="3"/>
        <v>0</v>
      </c>
    </row>
    <row r="21" spans="3:10" x14ac:dyDescent="0.3">
      <c r="C21" t="s">
        <v>23</v>
      </c>
      <c r="D21" s="1">
        <v>5.8033333333333346</v>
      </c>
      <c r="E21">
        <v>9.02</v>
      </c>
      <c r="F21" s="1">
        <f t="shared" si="4"/>
        <v>3.216666666666665</v>
      </c>
      <c r="G21" s="1">
        <f t="shared" si="0"/>
        <v>3.216666666666665</v>
      </c>
      <c r="H21" t="b">
        <f t="shared" si="1"/>
        <v>1</v>
      </c>
      <c r="I21" t="b">
        <f t="shared" si="2"/>
        <v>0</v>
      </c>
      <c r="J21" t="b">
        <f t="shared" si="3"/>
        <v>0</v>
      </c>
    </row>
    <row r="22" spans="3:10" x14ac:dyDescent="0.3">
      <c r="C22" t="s">
        <v>6</v>
      </c>
      <c r="D22" s="1">
        <v>-7.6399999999999979</v>
      </c>
      <c r="E22">
        <v>-7.94</v>
      </c>
      <c r="F22" s="1">
        <f t="shared" si="4"/>
        <v>-0.30000000000000249</v>
      </c>
      <c r="G22" s="1">
        <f t="shared" si="0"/>
        <v>0.30000000000000249</v>
      </c>
      <c r="H22" t="b">
        <f t="shared" si="1"/>
        <v>1</v>
      </c>
      <c r="I22" t="b">
        <f t="shared" si="2"/>
        <v>0</v>
      </c>
      <c r="J22" t="b">
        <f t="shared" si="3"/>
        <v>0</v>
      </c>
    </row>
    <row r="23" spans="3:10" x14ac:dyDescent="0.3">
      <c r="C23" t="s">
        <v>2</v>
      </c>
      <c r="D23" s="1">
        <v>-11.128666666666664</v>
      </c>
      <c r="E23">
        <v>-9.41</v>
      </c>
      <c r="F23" s="1">
        <f t="shared" si="4"/>
        <v>1.7186666666666639</v>
      </c>
      <c r="G23" s="1">
        <f t="shared" si="0"/>
        <v>1.7186666666666639</v>
      </c>
      <c r="H23" t="b">
        <f t="shared" si="1"/>
        <v>1</v>
      </c>
      <c r="I23" t="b">
        <f t="shared" si="2"/>
        <v>0</v>
      </c>
      <c r="J23" t="b">
        <f t="shared" si="3"/>
        <v>0</v>
      </c>
    </row>
    <row r="24" spans="3:10" x14ac:dyDescent="0.3">
      <c r="C24" s="3" t="s">
        <v>22</v>
      </c>
      <c r="D24" s="1">
        <v>-15.993999999999998</v>
      </c>
      <c r="E24">
        <v>-15</v>
      </c>
      <c r="F24" s="1">
        <f t="shared" si="4"/>
        <v>0.993999999999998</v>
      </c>
      <c r="G24" s="1">
        <f t="shared" si="0"/>
        <v>0.993999999999998</v>
      </c>
      <c r="H24" t="b">
        <f t="shared" si="1"/>
        <v>1</v>
      </c>
      <c r="I24" t="b">
        <f t="shared" si="2"/>
        <v>0</v>
      </c>
      <c r="J24" t="b">
        <f t="shared" si="3"/>
        <v>0</v>
      </c>
    </row>
    <row r="25" spans="3:10" x14ac:dyDescent="0.3">
      <c r="C25" t="s">
        <v>16</v>
      </c>
      <c r="D25" s="1">
        <v>5.3026666666666689</v>
      </c>
      <c r="E25">
        <v>7.91</v>
      </c>
      <c r="F25" s="1">
        <f t="shared" si="4"/>
        <v>2.6073333333333313</v>
      </c>
      <c r="G25" s="1">
        <f t="shared" si="0"/>
        <v>2.6073333333333313</v>
      </c>
      <c r="H25" t="b">
        <f t="shared" si="1"/>
        <v>1</v>
      </c>
      <c r="I25" t="b">
        <f t="shared" si="2"/>
        <v>0</v>
      </c>
      <c r="J25" t="b">
        <f t="shared" si="3"/>
        <v>0</v>
      </c>
    </row>
  </sheetData>
  <autoFilter ref="C3:J3" xr:uid="{F5420180-06EF-411A-A57B-7718BF37DEA6}">
    <sortState xmlns:xlrd2="http://schemas.microsoft.com/office/spreadsheetml/2017/richdata2" ref="C4:J25">
      <sortCondition ref="C3"/>
    </sortState>
  </autoFilter>
  <conditionalFormatting sqref="F4:F25">
    <cfRule type="cellIs" dxfId="28" priority="1" operator="between">
      <formula>-1</formula>
      <formula>1</formula>
    </cfRule>
    <cfRule type="cellIs" dxfId="27" priority="2" operator="between">
      <formula>1</formula>
      <formula>2.5</formula>
    </cfRule>
    <cfRule type="cellIs" dxfId="26" priority="3" operator="between">
      <formula>-2.5</formula>
      <formula>-1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B9B8-5DA8-4CB9-B5A7-BC02079ECD7B}">
  <dimension ref="C3:Q25"/>
  <sheetViews>
    <sheetView topLeftCell="B1" workbookViewId="0">
      <selection activeCell="G33" sqref="G33"/>
    </sheetView>
  </sheetViews>
  <sheetFormatPr defaultRowHeight="14.4" x14ac:dyDescent="0.3"/>
  <cols>
    <col min="4" max="4" width="10.6640625" customWidth="1"/>
    <col min="11" max="11" width="27.88671875" customWidth="1"/>
    <col min="12" max="12" width="12.5546875" customWidth="1"/>
    <col min="16" max="16" width="23.109375" customWidth="1"/>
  </cols>
  <sheetData>
    <row r="3" spans="3:17" x14ac:dyDescent="0.3">
      <c r="C3" t="s">
        <v>0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36</v>
      </c>
      <c r="J3" t="s">
        <v>38</v>
      </c>
    </row>
    <row r="4" spans="3:17" x14ac:dyDescent="0.3">
      <c r="C4" t="s">
        <v>15</v>
      </c>
      <c r="D4" s="1">
        <v>4.1200000000000028</v>
      </c>
      <c r="E4">
        <v>5.86</v>
      </c>
      <c r="F4" s="1">
        <f>E4-D4</f>
        <v>1.7399999999999975</v>
      </c>
      <c r="G4" s="1">
        <f>ABS(F4)</f>
        <v>1.7399999999999975</v>
      </c>
      <c r="H4" t="b">
        <f>IF(SIGN(D4) = SIGN(E4), TRUE, FALSE)</f>
        <v>1</v>
      </c>
      <c r="I4" t="b">
        <f t="shared" ref="I4:I25" si="0">ABS((G4 - AVERAGE($G$4:$G$25)) / _xlfn.STDEV.P($G$4:$G$25)) &gt; 1.5</f>
        <v>0</v>
      </c>
      <c r="J4" t="b">
        <f t="shared" ref="J4:J25" si="1">ABS(0.6745 * (G4 - $L$7) / $L$9) &gt; 1.5</f>
        <v>0</v>
      </c>
    </row>
    <row r="5" spans="3:17" x14ac:dyDescent="0.3">
      <c r="C5" t="s">
        <v>7</v>
      </c>
      <c r="D5" s="1">
        <v>-7.5133333333333336</v>
      </c>
      <c r="E5">
        <v>-9.93</v>
      </c>
      <c r="F5" s="1">
        <f>E5-D5</f>
        <v>-2.4166666666666661</v>
      </c>
      <c r="G5" s="1">
        <f>ABS(F5)</f>
        <v>2.4166666666666661</v>
      </c>
      <c r="H5" t="b">
        <f>IF(SIGN(D5) = SIGN(E5), TRUE, FALSE)</f>
        <v>1</v>
      </c>
      <c r="I5" t="b">
        <f t="shared" si="0"/>
        <v>0</v>
      </c>
      <c r="J5" t="b">
        <f t="shared" si="1"/>
        <v>0</v>
      </c>
      <c r="L5" s="1"/>
      <c r="M5" s="1"/>
    </row>
    <row r="6" spans="3:17" x14ac:dyDescent="0.3">
      <c r="C6" t="s">
        <v>10</v>
      </c>
      <c r="D6" s="1">
        <v>-1.8446666666666669</v>
      </c>
      <c r="E6">
        <v>-1.93</v>
      </c>
      <c r="F6" s="1">
        <f>E6-D6</f>
        <v>-8.5333333333333039E-2</v>
      </c>
      <c r="G6" s="1">
        <f>ABS(F6)</f>
        <v>8.5333333333333039E-2</v>
      </c>
      <c r="H6" t="b">
        <f>IF(SIGN(D6) = SIGN(E6), TRUE, FALSE)</f>
        <v>1</v>
      </c>
      <c r="I6" t="b">
        <f t="shared" si="0"/>
        <v>1</v>
      </c>
      <c r="J6" t="b">
        <f t="shared" si="1"/>
        <v>1</v>
      </c>
      <c r="K6" t="s">
        <v>27</v>
      </c>
      <c r="L6" s="1">
        <f>AVERAGE($G$4:$G$25)</f>
        <v>2.6342727272727271</v>
      </c>
      <c r="M6" s="1"/>
      <c r="P6" t="s">
        <v>31</v>
      </c>
      <c r="Q6">
        <f>COUNTIF(H4:H25, TRUE)</f>
        <v>22</v>
      </c>
    </row>
    <row r="7" spans="3:17" x14ac:dyDescent="0.3">
      <c r="C7" t="s">
        <v>14</v>
      </c>
      <c r="D7" s="1">
        <v>0.39666666666666561</v>
      </c>
      <c r="E7">
        <v>0.89</v>
      </c>
      <c r="F7" s="1">
        <f>E7-D7</f>
        <v>0.4933333333333344</v>
      </c>
      <c r="G7" s="1">
        <f>ABS(F7)</f>
        <v>0.4933333333333344</v>
      </c>
      <c r="H7" t="b">
        <f>IF(SIGN(D7) = SIGN(E7), TRUE, FALSE)</f>
        <v>1</v>
      </c>
      <c r="I7" t="b">
        <f t="shared" si="0"/>
        <v>0</v>
      </c>
      <c r="J7" t="b">
        <f t="shared" si="1"/>
        <v>1</v>
      </c>
      <c r="K7" t="s">
        <v>28</v>
      </c>
      <c r="L7" s="1">
        <f>MEDIAN($G$4:$G$25)</f>
        <v>2.6186666666666665</v>
      </c>
      <c r="M7" s="1"/>
      <c r="P7" t="s">
        <v>32</v>
      </c>
      <c r="Q7">
        <f>COUNTIF(G4:G25, "&lt; 2.5")</f>
        <v>10</v>
      </c>
    </row>
    <row r="8" spans="3:17" x14ac:dyDescent="0.3">
      <c r="C8" t="s">
        <v>9</v>
      </c>
      <c r="D8" s="1">
        <v>-3.9466666666666672</v>
      </c>
      <c r="E8">
        <v>-6.7</v>
      </c>
      <c r="F8" s="1">
        <f>E8-D8</f>
        <v>-2.753333333333333</v>
      </c>
      <c r="G8" s="1">
        <f>ABS(F8)</f>
        <v>2.753333333333333</v>
      </c>
      <c r="H8" t="b">
        <f>IF(SIGN(D8) = SIGN(E8), TRUE, FALSE)</f>
        <v>1</v>
      </c>
      <c r="I8" t="b">
        <f t="shared" si="0"/>
        <v>0</v>
      </c>
      <c r="J8" t="b">
        <f t="shared" si="1"/>
        <v>0</v>
      </c>
      <c r="K8" t="s">
        <v>30</v>
      </c>
      <c r="L8" s="8">
        <f>Q6/22</f>
        <v>1</v>
      </c>
      <c r="M8" s="1"/>
      <c r="P8" t="s">
        <v>33</v>
      </c>
      <c r="Q8" s="1">
        <f>_xlfn.QUARTILE.INC(G4:G25, 1)</f>
        <v>1.8915000000000002</v>
      </c>
    </row>
    <row r="9" spans="3:17" x14ac:dyDescent="0.3">
      <c r="C9" t="s">
        <v>26</v>
      </c>
      <c r="D9" s="1">
        <v>10.775</v>
      </c>
      <c r="E9">
        <v>6.01</v>
      </c>
      <c r="F9" s="1">
        <f>E9-D9</f>
        <v>-4.7650000000000006</v>
      </c>
      <c r="G9" s="1">
        <f>ABS(F9)</f>
        <v>4.7650000000000006</v>
      </c>
      <c r="H9" t="b">
        <f>IF(SIGN(D9) = SIGN(E9), TRUE, FALSE)</f>
        <v>1</v>
      </c>
      <c r="I9" t="b">
        <f t="shared" si="0"/>
        <v>0</v>
      </c>
      <c r="J9" t="b">
        <f t="shared" si="1"/>
        <v>1</v>
      </c>
      <c r="K9" t="s">
        <v>39</v>
      </c>
      <c r="L9" s="1" cm="1">
        <f t="array" ref="L9">MEDIAN(ABS($G$4:$G$25 - L7))</f>
        <v>0.85966666666666791</v>
      </c>
      <c r="P9" t="s">
        <v>34</v>
      </c>
      <c r="Q9" s="1">
        <f>_xlfn.QUARTILE.INC(G4:G25, 3)</f>
        <v>3.6398333333333328</v>
      </c>
    </row>
    <row r="10" spans="3:17" x14ac:dyDescent="0.3">
      <c r="C10" t="s">
        <v>25</v>
      </c>
      <c r="D10" s="1">
        <v>9.82</v>
      </c>
      <c r="E10">
        <v>11.69</v>
      </c>
      <c r="F10" s="1">
        <f>E10-D10</f>
        <v>1.8699999999999992</v>
      </c>
      <c r="G10" s="1">
        <f>ABS(F10)</f>
        <v>1.8699999999999992</v>
      </c>
      <c r="H10" t="b">
        <f>IF(SIGN(D10) = SIGN(E10), TRUE, FALSE)</f>
        <v>1</v>
      </c>
      <c r="I10" t="b">
        <f t="shared" si="0"/>
        <v>0</v>
      </c>
      <c r="J10" t="b">
        <f t="shared" si="1"/>
        <v>0</v>
      </c>
      <c r="K10" t="s">
        <v>46</v>
      </c>
      <c r="L10" s="8"/>
      <c r="P10" t="s">
        <v>35</v>
      </c>
      <c r="Q10" s="1">
        <f>Q9-Q8</f>
        <v>1.7483333333333326</v>
      </c>
    </row>
    <row r="11" spans="3:17" x14ac:dyDescent="0.3">
      <c r="C11" t="s">
        <v>1</v>
      </c>
      <c r="D11" s="1">
        <v>-14.689333333333334</v>
      </c>
      <c r="E11">
        <v>-11.23</v>
      </c>
      <c r="F11" s="1">
        <f>E11-D11</f>
        <v>3.4593333333333334</v>
      </c>
      <c r="G11" s="1">
        <f>ABS(F11)</f>
        <v>3.4593333333333334</v>
      </c>
      <c r="H11" t="b">
        <f>IF(SIGN(D11) = SIGN(E11), TRUE, FALSE)</f>
        <v>1</v>
      </c>
      <c r="I11" t="b">
        <f t="shared" si="0"/>
        <v>0</v>
      </c>
      <c r="J11" t="b">
        <f t="shared" si="1"/>
        <v>0</v>
      </c>
      <c r="K11" t="s">
        <v>48</v>
      </c>
      <c r="L11" s="1">
        <f>AVERAGE(F4:F25)</f>
        <v>0.35187878787878818</v>
      </c>
      <c r="P11" t="s">
        <v>40</v>
      </c>
      <c r="Q11" s="6">
        <f>COUNTIF($I$4:$I$25, TRUE)</f>
        <v>5</v>
      </c>
    </row>
    <row r="12" spans="3:17" x14ac:dyDescent="0.3">
      <c r="C12" t="s">
        <v>11</v>
      </c>
      <c r="D12" s="1">
        <v>-1.2246666666666659</v>
      </c>
      <c r="E12">
        <v>-6.48</v>
      </c>
      <c r="F12" s="1">
        <f>E12-D12</f>
        <v>-5.2553333333333345</v>
      </c>
      <c r="G12" s="1">
        <f>ABS(F12)</f>
        <v>5.2553333333333345</v>
      </c>
      <c r="H12" t="b">
        <f>IF(SIGN(D12) = SIGN(E12), TRUE, FALSE)</f>
        <v>1</v>
      </c>
      <c r="I12" t="b">
        <f t="shared" si="0"/>
        <v>1</v>
      </c>
      <c r="J12" t="b">
        <f t="shared" si="1"/>
        <v>1</v>
      </c>
      <c r="K12" t="s">
        <v>47</v>
      </c>
      <c r="L12" s="1">
        <f>MEDIAN(F4:F25)</f>
        <v>1.1166666666666658</v>
      </c>
      <c r="M12" s="8"/>
      <c r="P12" t="s">
        <v>37</v>
      </c>
      <c r="Q12" s="5">
        <f>$Q$11/COUNTA($I$4:$I$25)</f>
        <v>0.22727272727272727</v>
      </c>
    </row>
    <row r="13" spans="3:17" x14ac:dyDescent="0.3">
      <c r="C13" s="3" t="s">
        <v>21</v>
      </c>
      <c r="D13" s="1">
        <v>-18.311666666666667</v>
      </c>
      <c r="E13">
        <v>-17.96</v>
      </c>
      <c r="F13" s="1">
        <f>E13-D13</f>
        <v>0.35166666666666657</v>
      </c>
      <c r="G13" s="1">
        <f>ABS(F13)</f>
        <v>0.35166666666666657</v>
      </c>
      <c r="H13" t="b">
        <f>IF(SIGN(D13) = SIGN(E13), TRUE, FALSE)</f>
        <v>1</v>
      </c>
      <c r="I13" t="b">
        <f t="shared" si="0"/>
        <v>1</v>
      </c>
      <c r="J13" t="b">
        <f t="shared" si="1"/>
        <v>1</v>
      </c>
      <c r="P13" t="s">
        <v>41</v>
      </c>
      <c r="Q13">
        <f>COUNTIF($J$4:$J$25, TRUE)</f>
        <v>7</v>
      </c>
    </row>
    <row r="14" spans="3:17" x14ac:dyDescent="0.3">
      <c r="C14" t="s">
        <v>13</v>
      </c>
      <c r="D14" s="1">
        <v>-0.6800000000000006</v>
      </c>
      <c r="E14">
        <v>-4.38</v>
      </c>
      <c r="F14" s="1">
        <f>E14-D14</f>
        <v>-3.6999999999999993</v>
      </c>
      <c r="G14" s="1">
        <f>ABS(F14)</f>
        <v>3.6999999999999993</v>
      </c>
      <c r="H14" t="b">
        <f>IF(SIGN(D14) = SIGN(E14), TRUE, FALSE)</f>
        <v>1</v>
      </c>
      <c r="I14" t="b">
        <f t="shared" si="0"/>
        <v>0</v>
      </c>
      <c r="J14" t="b">
        <f t="shared" si="1"/>
        <v>0</v>
      </c>
      <c r="P14" t="s">
        <v>37</v>
      </c>
      <c r="Q14" s="5">
        <f>$Q$13/COUNTA($J$4:$J$25)</f>
        <v>0.31818181818181818</v>
      </c>
    </row>
    <row r="15" spans="3:17" x14ac:dyDescent="0.3">
      <c r="C15" t="s">
        <v>12</v>
      </c>
      <c r="D15" s="1">
        <v>-0.89333333333333442</v>
      </c>
      <c r="E15">
        <v>-3.3</v>
      </c>
      <c r="F15" s="1">
        <f>E15-D15</f>
        <v>-2.4066666666666654</v>
      </c>
      <c r="G15" s="1">
        <f>ABS(F15)</f>
        <v>2.4066666666666654</v>
      </c>
      <c r="H15" t="b">
        <f>IF(SIGN(D15) = SIGN(E15), TRUE, FALSE)</f>
        <v>1</v>
      </c>
      <c r="I15" t="b">
        <f t="shared" si="0"/>
        <v>0</v>
      </c>
      <c r="J15" t="b">
        <f t="shared" si="1"/>
        <v>0</v>
      </c>
    </row>
    <row r="16" spans="3:17" x14ac:dyDescent="0.3">
      <c r="C16" t="s">
        <v>3</v>
      </c>
      <c r="D16" s="1">
        <v>-11.375999999999999</v>
      </c>
      <c r="E16">
        <v>-6.52</v>
      </c>
      <c r="F16" s="1">
        <f>E16-D16</f>
        <v>4.8559999999999999</v>
      </c>
      <c r="G16" s="1">
        <f>ABS(F16)</f>
        <v>4.8559999999999999</v>
      </c>
      <c r="H16" t="b">
        <f>IF(SIGN(D16) = SIGN(E16), TRUE, FALSE)</f>
        <v>1</v>
      </c>
      <c r="I16" t="b">
        <f t="shared" si="0"/>
        <v>1</v>
      </c>
      <c r="J16" t="b">
        <f t="shared" si="1"/>
        <v>1</v>
      </c>
    </row>
    <row r="17" spans="3:10" x14ac:dyDescent="0.3">
      <c r="C17" t="s">
        <v>8</v>
      </c>
      <c r="D17" s="1">
        <v>-6.858666666666668</v>
      </c>
      <c r="E17">
        <v>-3.66</v>
      </c>
      <c r="F17" s="1">
        <f>E17-D17</f>
        <v>3.1986666666666679</v>
      </c>
      <c r="G17" s="1">
        <f>ABS(F17)</f>
        <v>3.1986666666666679</v>
      </c>
      <c r="H17" t="b">
        <f>IF(SIGN(D17) = SIGN(E17), TRUE, FALSE)</f>
        <v>1</v>
      </c>
      <c r="I17" t="b">
        <f t="shared" si="0"/>
        <v>0</v>
      </c>
      <c r="J17" t="b">
        <f t="shared" si="1"/>
        <v>0</v>
      </c>
    </row>
    <row r="18" spans="3:10" x14ac:dyDescent="0.3">
      <c r="C18" t="s">
        <v>24</v>
      </c>
      <c r="D18" s="1">
        <v>8.7639999999999993</v>
      </c>
      <c r="E18">
        <v>5.04</v>
      </c>
      <c r="F18" s="1">
        <f>E18-D18</f>
        <v>-3.7239999999999993</v>
      </c>
      <c r="G18" s="1">
        <f>ABS(F18)</f>
        <v>3.7239999999999993</v>
      </c>
      <c r="H18" t="b">
        <f>IF(SIGN(D18) = SIGN(E18), TRUE, FALSE)</f>
        <v>1</v>
      </c>
      <c r="I18" t="b">
        <f t="shared" si="0"/>
        <v>0</v>
      </c>
      <c r="J18" t="b">
        <f t="shared" si="1"/>
        <v>0</v>
      </c>
    </row>
    <row r="19" spans="3:10" x14ac:dyDescent="0.3">
      <c r="C19" t="s">
        <v>5</v>
      </c>
      <c r="D19" s="1">
        <v>-8.7826666666666675</v>
      </c>
      <c r="E19">
        <v>-6.12</v>
      </c>
      <c r="F19" s="1">
        <f>E19-D19</f>
        <v>2.6626666666666674</v>
      </c>
      <c r="G19" s="1">
        <f>ABS(F19)</f>
        <v>2.6626666666666674</v>
      </c>
      <c r="H19" t="b">
        <f>IF(SIGN(D19) = SIGN(E19), TRUE, FALSE)</f>
        <v>1</v>
      </c>
      <c r="I19" t="b">
        <f t="shared" si="0"/>
        <v>0</v>
      </c>
      <c r="J19" t="b">
        <f t="shared" si="1"/>
        <v>0</v>
      </c>
    </row>
    <row r="20" spans="3:10" x14ac:dyDescent="0.3">
      <c r="C20" t="s">
        <v>4</v>
      </c>
      <c r="D20" s="1">
        <v>-9.913333333333334</v>
      </c>
      <c r="E20">
        <v>-7.79</v>
      </c>
      <c r="F20" s="1">
        <f>E20-D20</f>
        <v>2.123333333333334</v>
      </c>
      <c r="G20" s="1">
        <f>ABS(F20)</f>
        <v>2.123333333333334</v>
      </c>
      <c r="H20" t="b">
        <f>IF(SIGN(D20) = SIGN(E20), TRUE, FALSE)</f>
        <v>1</v>
      </c>
      <c r="I20" t="b">
        <f t="shared" si="0"/>
        <v>0</v>
      </c>
      <c r="J20" t="b">
        <f t="shared" si="1"/>
        <v>0</v>
      </c>
    </row>
    <row r="21" spans="3:10" x14ac:dyDescent="0.3">
      <c r="C21" t="s">
        <v>23</v>
      </c>
      <c r="D21" s="1">
        <v>5.0533333333333328</v>
      </c>
      <c r="E21">
        <v>9.02</v>
      </c>
      <c r="F21" s="1">
        <f>E21-D21</f>
        <v>3.9666666666666668</v>
      </c>
      <c r="G21" s="1">
        <f>ABS(F21)</f>
        <v>3.9666666666666668</v>
      </c>
      <c r="H21" t="b">
        <f>IF(SIGN(D21) = SIGN(E21), TRUE, FALSE)</f>
        <v>1</v>
      </c>
      <c r="I21" t="b">
        <f t="shared" si="0"/>
        <v>0</v>
      </c>
      <c r="J21" t="b">
        <f t="shared" si="1"/>
        <v>0</v>
      </c>
    </row>
    <row r="22" spans="3:10" x14ac:dyDescent="0.3">
      <c r="C22" t="s">
        <v>6</v>
      </c>
      <c r="D22" s="1">
        <v>-8.1780000000000008</v>
      </c>
      <c r="E22">
        <v>-7.94</v>
      </c>
      <c r="F22" s="1">
        <f>E22-D22</f>
        <v>0.23800000000000043</v>
      </c>
      <c r="G22" s="1">
        <f>ABS(F22)</f>
        <v>0.23800000000000043</v>
      </c>
      <c r="H22" t="b">
        <f>IF(SIGN(D22) = SIGN(E22), TRUE, FALSE)</f>
        <v>1</v>
      </c>
      <c r="I22" t="b">
        <f t="shared" si="0"/>
        <v>1</v>
      </c>
      <c r="J22" t="b">
        <f t="shared" si="1"/>
        <v>1</v>
      </c>
    </row>
    <row r="23" spans="3:10" x14ac:dyDescent="0.3">
      <c r="C23" t="s">
        <v>2</v>
      </c>
      <c r="D23" s="1">
        <v>-11.984666666666666</v>
      </c>
      <c r="E23">
        <v>-9.41</v>
      </c>
      <c r="F23" s="1">
        <f>E23-D23</f>
        <v>2.5746666666666655</v>
      </c>
      <c r="G23" s="1">
        <f>ABS(F23)</f>
        <v>2.5746666666666655</v>
      </c>
      <c r="H23" t="b">
        <f>IF(SIGN(D23) = SIGN(E23), TRUE, FALSE)</f>
        <v>1</v>
      </c>
      <c r="I23" t="b">
        <f t="shared" si="0"/>
        <v>0</v>
      </c>
      <c r="J23" t="b">
        <f t="shared" si="1"/>
        <v>0</v>
      </c>
    </row>
    <row r="24" spans="3:10" x14ac:dyDescent="0.3">
      <c r="C24" s="3" t="s">
        <v>22</v>
      </c>
      <c r="D24" s="1">
        <v>-16.956000000000003</v>
      </c>
      <c r="E24">
        <v>-15</v>
      </c>
      <c r="F24" s="1">
        <f>E24-D24</f>
        <v>1.9560000000000031</v>
      </c>
      <c r="G24" s="1">
        <f>ABS(F24)</f>
        <v>1.9560000000000031</v>
      </c>
      <c r="H24" t="b">
        <f>IF(SIGN(D24) = SIGN(E24), TRUE, FALSE)</f>
        <v>1</v>
      </c>
      <c r="I24" t="b">
        <f t="shared" si="0"/>
        <v>0</v>
      </c>
      <c r="J24" t="b">
        <f t="shared" si="1"/>
        <v>0</v>
      </c>
    </row>
    <row r="25" spans="3:10" x14ac:dyDescent="0.3">
      <c r="C25" t="s">
        <v>16</v>
      </c>
      <c r="D25" s="1">
        <v>4.5526666666666671</v>
      </c>
      <c r="E25">
        <v>7.91</v>
      </c>
      <c r="F25" s="1">
        <f>E25-D25</f>
        <v>3.3573333333333331</v>
      </c>
      <c r="G25" s="1">
        <f>ABS(F25)</f>
        <v>3.3573333333333331</v>
      </c>
      <c r="H25" t="b">
        <f>IF(SIGN(D25) = SIGN(E25), TRUE, FALSE)</f>
        <v>1</v>
      </c>
      <c r="I25" t="b">
        <f t="shared" si="0"/>
        <v>0</v>
      </c>
      <c r="J25" t="b">
        <f t="shared" si="1"/>
        <v>0</v>
      </c>
    </row>
  </sheetData>
  <autoFilter ref="C3:J3" xr:uid="{3A43B9B8-5DA8-4CB9-B5A7-BC02079ECD7B}">
    <sortState xmlns:xlrd2="http://schemas.microsoft.com/office/spreadsheetml/2017/richdata2" ref="C4:J25">
      <sortCondition ref="C3"/>
    </sortState>
  </autoFilter>
  <conditionalFormatting sqref="G4:G25">
    <cfRule type="cellIs" dxfId="17" priority="1" operator="between">
      <formula>-2.5</formula>
      <formula>2.5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4484-9A2F-4103-B937-4B9F40748E88}">
  <dimension ref="C3:Q25"/>
  <sheetViews>
    <sheetView topLeftCell="B1" workbookViewId="0">
      <selection activeCell="M13" sqref="M13"/>
    </sheetView>
  </sheetViews>
  <sheetFormatPr defaultRowHeight="14.4" x14ac:dyDescent="0.3"/>
  <cols>
    <col min="4" max="4" width="10.6640625" customWidth="1"/>
    <col min="11" max="11" width="27.88671875" customWidth="1"/>
    <col min="12" max="12" width="12.5546875" customWidth="1"/>
    <col min="16" max="16" width="23.109375" customWidth="1"/>
  </cols>
  <sheetData>
    <row r="3" spans="3:17" x14ac:dyDescent="0.3">
      <c r="C3" t="s">
        <v>0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36</v>
      </c>
      <c r="J3" t="s">
        <v>38</v>
      </c>
    </row>
    <row r="4" spans="3:17" x14ac:dyDescent="0.3">
      <c r="C4" t="s">
        <v>15</v>
      </c>
      <c r="D4" s="1">
        <v>4.1200000000000028</v>
      </c>
      <c r="E4">
        <v>5.86</v>
      </c>
      <c r="F4" s="1">
        <f>E4-D4</f>
        <v>1.7399999999999975</v>
      </c>
      <c r="G4" s="1">
        <f>ABS(F4)</f>
        <v>1.7399999999999975</v>
      </c>
      <c r="H4" t="b">
        <f>IF(SIGN(D4) = SIGN(E4), TRUE, FALSE)</f>
        <v>1</v>
      </c>
      <c r="I4" t="b">
        <f t="shared" ref="I4:I25" si="0">ABS((G4 - AVERAGE($G$4:$G$25)) / _xlfn.STDEV.P($G$4:$G$25)) &gt; 1.5</f>
        <v>0</v>
      </c>
      <c r="J4" t="b">
        <f t="shared" ref="J4:J25" si="1">ABS(0.6745 * (G4 - $L$7) / $L$9) &gt; 1.5</f>
        <v>0</v>
      </c>
    </row>
    <row r="5" spans="3:17" x14ac:dyDescent="0.3">
      <c r="C5" t="s">
        <v>7</v>
      </c>
      <c r="D5" s="1">
        <v>-7.5133333333333336</v>
      </c>
      <c r="E5">
        <v>-9.93</v>
      </c>
      <c r="F5" s="1">
        <f>E5-D5</f>
        <v>-2.4166666666666661</v>
      </c>
      <c r="G5" s="1">
        <f>ABS(F5)</f>
        <v>2.4166666666666661</v>
      </c>
      <c r="H5" t="b">
        <f>IF(SIGN(D5) = SIGN(E5), TRUE, FALSE)</f>
        <v>1</v>
      </c>
      <c r="I5" t="b">
        <f t="shared" si="0"/>
        <v>0</v>
      </c>
      <c r="J5" t="b">
        <f t="shared" si="1"/>
        <v>0</v>
      </c>
      <c r="L5" s="1"/>
      <c r="M5" s="1"/>
    </row>
    <row r="6" spans="3:17" x14ac:dyDescent="0.3">
      <c r="C6" t="s">
        <v>10</v>
      </c>
      <c r="D6" s="1">
        <v>-4.8446666666666669</v>
      </c>
      <c r="E6">
        <v>-1.93</v>
      </c>
      <c r="F6" s="1">
        <f>E6-D6</f>
        <v>2.9146666666666672</v>
      </c>
      <c r="G6" s="1">
        <f>ABS(F6)</f>
        <v>2.9146666666666672</v>
      </c>
      <c r="H6" t="b">
        <f>IF(SIGN(D6) = SIGN(E6), TRUE, FALSE)</f>
        <v>1</v>
      </c>
      <c r="I6" t="b">
        <f t="shared" si="0"/>
        <v>0</v>
      </c>
      <c r="J6" t="b">
        <f t="shared" si="1"/>
        <v>0</v>
      </c>
      <c r="K6" t="s">
        <v>27</v>
      </c>
      <c r="L6" s="1">
        <f>AVERAGE($G$4:$G$25)</f>
        <v>2.2937878787878789</v>
      </c>
      <c r="M6" s="1"/>
      <c r="P6" t="s">
        <v>31</v>
      </c>
      <c r="Q6">
        <f>COUNTIF(H4:H25, TRUE)</f>
        <v>22</v>
      </c>
    </row>
    <row r="7" spans="3:17" x14ac:dyDescent="0.3">
      <c r="C7" t="s">
        <v>14</v>
      </c>
      <c r="D7" s="1">
        <v>0.39666666666666561</v>
      </c>
      <c r="E7">
        <v>0.89</v>
      </c>
      <c r="F7" s="1">
        <f>E7-D7</f>
        <v>0.4933333333333344</v>
      </c>
      <c r="G7" s="1">
        <f>ABS(F7)</f>
        <v>0.4933333333333344</v>
      </c>
      <c r="H7" t="b">
        <f>IF(SIGN(D7) = SIGN(E7), TRUE, FALSE)</f>
        <v>1</v>
      </c>
      <c r="I7" t="b">
        <f t="shared" si="0"/>
        <v>0</v>
      </c>
      <c r="J7" t="b">
        <f t="shared" si="1"/>
        <v>0</v>
      </c>
      <c r="K7" t="s">
        <v>28</v>
      </c>
      <c r="L7" s="1">
        <f>MEDIAN($G$4:$G$25)</f>
        <v>2.3360000000000003</v>
      </c>
      <c r="M7" s="1"/>
      <c r="P7" t="s">
        <v>32</v>
      </c>
      <c r="Q7">
        <f>COUNTIF(G4:G25, "&lt; 2.5")</f>
        <v>12</v>
      </c>
    </row>
    <row r="8" spans="3:17" x14ac:dyDescent="0.3">
      <c r="C8" t="s">
        <v>9</v>
      </c>
      <c r="D8" s="1">
        <v>-6.9466666666666672</v>
      </c>
      <c r="E8">
        <v>-6.7</v>
      </c>
      <c r="F8" s="1">
        <f>E8-D8</f>
        <v>0.24666666666666703</v>
      </c>
      <c r="G8" s="1">
        <f>ABS(F8)</f>
        <v>0.24666666666666703</v>
      </c>
      <c r="H8" t="b">
        <f>IF(SIGN(D8) = SIGN(E8), TRUE, FALSE)</f>
        <v>1</v>
      </c>
      <c r="I8" t="b">
        <f t="shared" si="0"/>
        <v>0</v>
      </c>
      <c r="J8" t="b">
        <f t="shared" si="1"/>
        <v>0</v>
      </c>
      <c r="K8" t="s">
        <v>30</v>
      </c>
      <c r="L8" s="8">
        <f>Q6/22</f>
        <v>1</v>
      </c>
      <c r="M8" s="1"/>
      <c r="P8" t="s">
        <v>33</v>
      </c>
      <c r="Q8" s="1">
        <f>_xlfn.QUARTILE.INC(G4:G25, 1)</f>
        <v>0.95999999999999885</v>
      </c>
    </row>
    <row r="9" spans="3:17" x14ac:dyDescent="0.3">
      <c r="C9" t="s">
        <v>26</v>
      </c>
      <c r="D9" s="1">
        <v>10.775</v>
      </c>
      <c r="E9">
        <v>6.01</v>
      </c>
      <c r="F9" s="1">
        <f>E9-D9</f>
        <v>-4.7650000000000006</v>
      </c>
      <c r="G9" s="1">
        <f>ABS(F9)</f>
        <v>4.7650000000000006</v>
      </c>
      <c r="H9" t="b">
        <f>IF(SIGN(D9) = SIGN(E9), TRUE, FALSE)</f>
        <v>1</v>
      </c>
      <c r="I9" t="b">
        <f t="shared" si="0"/>
        <v>1</v>
      </c>
      <c r="J9" t="b">
        <f t="shared" si="1"/>
        <v>1</v>
      </c>
      <c r="K9" t="s">
        <v>39</v>
      </c>
      <c r="L9" s="1" cm="1">
        <f t="array" ref="L9">MEDIAN(ABS($G$4:$G$25 - L7))</f>
        <v>1.0723333333333329</v>
      </c>
      <c r="P9" t="s">
        <v>34</v>
      </c>
      <c r="Q9" s="1">
        <f>_xlfn.QUARTILE.INC(G4:G25, 3)</f>
        <v>3.3176666666666668</v>
      </c>
    </row>
    <row r="10" spans="3:17" x14ac:dyDescent="0.3">
      <c r="C10" t="s">
        <v>25</v>
      </c>
      <c r="D10" s="1">
        <v>9.82</v>
      </c>
      <c r="E10">
        <v>11.69</v>
      </c>
      <c r="F10" s="1">
        <f>E10-D10</f>
        <v>1.8699999999999992</v>
      </c>
      <c r="G10" s="1">
        <f>ABS(F10)</f>
        <v>1.8699999999999992</v>
      </c>
      <c r="H10" t="b">
        <f>IF(SIGN(D10) = SIGN(E10), TRUE, FALSE)</f>
        <v>1</v>
      </c>
      <c r="I10" t="b">
        <f t="shared" si="0"/>
        <v>0</v>
      </c>
      <c r="J10" t="b">
        <f t="shared" si="1"/>
        <v>0</v>
      </c>
      <c r="K10" t="s">
        <v>46</v>
      </c>
      <c r="L10" s="8">
        <f>(COUNT(F4,F6:F7,F10,F11,F13,F17,F19:F20,F22:F24)/COUNT(F4:F25))</f>
        <v>0.54545454545454541</v>
      </c>
      <c r="P10" t="s">
        <v>35</v>
      </c>
      <c r="Q10" s="1">
        <f>Q9-Q8</f>
        <v>2.3576666666666677</v>
      </c>
    </row>
    <row r="11" spans="3:17" x14ac:dyDescent="0.3">
      <c r="C11" t="s">
        <v>1</v>
      </c>
      <c r="D11" s="1">
        <v>-14.689333333333334</v>
      </c>
      <c r="E11">
        <v>-11.23</v>
      </c>
      <c r="F11" s="1">
        <f>E11-D11</f>
        <v>3.4593333333333334</v>
      </c>
      <c r="G11" s="1">
        <f>ABS(F11)</f>
        <v>3.4593333333333334</v>
      </c>
      <c r="H11" t="b">
        <f>IF(SIGN(D11) = SIGN(E11), TRUE, FALSE)</f>
        <v>1</v>
      </c>
      <c r="I11" t="b">
        <f t="shared" si="0"/>
        <v>0</v>
      </c>
      <c r="J11" t="b">
        <f t="shared" si="1"/>
        <v>0</v>
      </c>
      <c r="K11" t="s">
        <v>48</v>
      </c>
      <c r="L11" s="1">
        <f>AVERAGE(F4:F25)</f>
        <v>1.03369696969697</v>
      </c>
      <c r="P11" t="s">
        <v>40</v>
      </c>
      <c r="Q11" s="6">
        <f>COUNTIF($I$4:$I$25, TRUE)</f>
        <v>2</v>
      </c>
    </row>
    <row r="12" spans="3:17" x14ac:dyDescent="0.3">
      <c r="C12" t="s">
        <v>11</v>
      </c>
      <c r="D12" s="1">
        <v>-4.2246666666666659</v>
      </c>
      <c r="E12">
        <v>-6.48</v>
      </c>
      <c r="F12" s="1">
        <f>E12-D12</f>
        <v>-2.2553333333333345</v>
      </c>
      <c r="G12" s="1">
        <f>ABS(F12)</f>
        <v>2.2553333333333345</v>
      </c>
      <c r="H12" t="b">
        <f>IF(SIGN(D12) = SIGN(E12), TRUE, FALSE)</f>
        <v>1</v>
      </c>
      <c r="I12" t="b">
        <f t="shared" si="0"/>
        <v>0</v>
      </c>
      <c r="J12" t="b">
        <f t="shared" si="1"/>
        <v>0</v>
      </c>
      <c r="K12" t="s">
        <v>47</v>
      </c>
      <c r="L12" s="1">
        <f>MEDIAN(F4:F25)</f>
        <v>1.8049999999999984</v>
      </c>
      <c r="M12" s="8"/>
      <c r="P12" t="s">
        <v>37</v>
      </c>
      <c r="Q12" s="5">
        <f>$Q$11/COUNTA($I$4:$I$25)</f>
        <v>9.0909090909090912E-2</v>
      </c>
    </row>
    <row r="13" spans="3:17" x14ac:dyDescent="0.3">
      <c r="C13" s="3" t="s">
        <v>21</v>
      </c>
      <c r="D13" s="1">
        <v>-18.311666666666667</v>
      </c>
      <c r="E13">
        <v>-17.96</v>
      </c>
      <c r="F13" s="1">
        <f>E13-D13</f>
        <v>0.35166666666666657</v>
      </c>
      <c r="G13" s="1">
        <f>ABS(F13)</f>
        <v>0.35166666666666657</v>
      </c>
      <c r="H13" t="b">
        <f>IF(SIGN(D13) = SIGN(E13), TRUE, FALSE)</f>
        <v>1</v>
      </c>
      <c r="I13" t="b">
        <f t="shared" si="0"/>
        <v>0</v>
      </c>
      <c r="J13" t="b">
        <f t="shared" si="1"/>
        <v>0</v>
      </c>
      <c r="P13" t="s">
        <v>41</v>
      </c>
      <c r="Q13">
        <f>COUNTIF($J$4:$J$25, TRUE)</f>
        <v>2</v>
      </c>
    </row>
    <row r="14" spans="3:17" x14ac:dyDescent="0.3">
      <c r="C14" t="s">
        <v>13</v>
      </c>
      <c r="D14" s="1">
        <v>-3.6800000000000006</v>
      </c>
      <c r="E14">
        <v>-4.38</v>
      </c>
      <c r="F14" s="1">
        <f>E14-D14</f>
        <v>-0.69999999999999929</v>
      </c>
      <c r="G14" s="1">
        <f>ABS(F14)</f>
        <v>0.69999999999999929</v>
      </c>
      <c r="H14" t="b">
        <f>IF(SIGN(D14) = SIGN(E14), TRUE, FALSE)</f>
        <v>1</v>
      </c>
      <c r="I14" t="b">
        <f t="shared" si="0"/>
        <v>0</v>
      </c>
      <c r="J14" t="b">
        <f t="shared" si="1"/>
        <v>0</v>
      </c>
      <c r="P14" t="s">
        <v>37</v>
      </c>
      <c r="Q14" s="5">
        <f>$Q$13/COUNTA($J$4:$J$25)</f>
        <v>9.0909090909090912E-2</v>
      </c>
    </row>
    <row r="15" spans="3:17" x14ac:dyDescent="0.3">
      <c r="C15" t="s">
        <v>12</v>
      </c>
      <c r="D15" s="1">
        <v>-3.8933333333333344</v>
      </c>
      <c r="E15">
        <v>-3.3</v>
      </c>
      <c r="F15" s="1">
        <f>E15-D15</f>
        <v>0.5933333333333346</v>
      </c>
      <c r="G15" s="1">
        <f>ABS(F15)</f>
        <v>0.5933333333333346</v>
      </c>
      <c r="H15" t="b">
        <f>IF(SIGN(D15) = SIGN(E15), TRUE, FALSE)</f>
        <v>1</v>
      </c>
      <c r="I15" t="b">
        <f t="shared" si="0"/>
        <v>0</v>
      </c>
      <c r="J15" t="b">
        <f t="shared" si="1"/>
        <v>0</v>
      </c>
    </row>
    <row r="16" spans="3:17" x14ac:dyDescent="0.3">
      <c r="C16" t="s">
        <v>3</v>
      </c>
      <c r="D16" s="1">
        <v>-11.375999999999999</v>
      </c>
      <c r="E16">
        <v>-6.52</v>
      </c>
      <c r="F16" s="1">
        <f>E16-D16</f>
        <v>4.8559999999999999</v>
      </c>
      <c r="G16" s="1">
        <f>ABS(F16)</f>
        <v>4.8559999999999999</v>
      </c>
      <c r="H16" t="b">
        <f>IF(SIGN(D16) = SIGN(E16), TRUE, FALSE)</f>
        <v>1</v>
      </c>
      <c r="I16" t="b">
        <f t="shared" si="0"/>
        <v>1</v>
      </c>
      <c r="J16" t="b">
        <f t="shared" si="1"/>
        <v>1</v>
      </c>
    </row>
    <row r="17" spans="3:10" x14ac:dyDescent="0.3">
      <c r="C17" t="s">
        <v>8</v>
      </c>
      <c r="D17" s="1">
        <v>-6.858666666666668</v>
      </c>
      <c r="E17">
        <v>-3.66</v>
      </c>
      <c r="F17" s="1">
        <f>E17-D17</f>
        <v>3.1986666666666679</v>
      </c>
      <c r="G17" s="1">
        <f>ABS(F17)</f>
        <v>3.1986666666666679</v>
      </c>
      <c r="H17" t="b">
        <f>IF(SIGN(D17) = SIGN(E17), TRUE, FALSE)</f>
        <v>1</v>
      </c>
      <c r="I17" t="b">
        <f t="shared" si="0"/>
        <v>0</v>
      </c>
      <c r="J17" t="b">
        <f t="shared" si="1"/>
        <v>0</v>
      </c>
    </row>
    <row r="18" spans="3:10" x14ac:dyDescent="0.3">
      <c r="C18" t="s">
        <v>24</v>
      </c>
      <c r="D18" s="1">
        <v>8.7639999999999993</v>
      </c>
      <c r="E18">
        <v>5.04</v>
      </c>
      <c r="F18" s="1">
        <f>E18-D18</f>
        <v>-3.7239999999999993</v>
      </c>
      <c r="G18" s="1">
        <f>ABS(F18)</f>
        <v>3.7239999999999993</v>
      </c>
      <c r="H18" t="b">
        <f>IF(SIGN(D18) = SIGN(E18), TRUE, FALSE)</f>
        <v>1</v>
      </c>
      <c r="I18" t="b">
        <f t="shared" si="0"/>
        <v>0</v>
      </c>
      <c r="J18" t="b">
        <f t="shared" si="1"/>
        <v>0</v>
      </c>
    </row>
    <row r="19" spans="3:10" x14ac:dyDescent="0.3">
      <c r="C19" t="s">
        <v>5</v>
      </c>
      <c r="D19" s="1">
        <v>-8.7826666666666675</v>
      </c>
      <c r="E19">
        <v>-6.12</v>
      </c>
      <c r="F19" s="1">
        <f>E19-D19</f>
        <v>2.6626666666666674</v>
      </c>
      <c r="G19" s="1">
        <f>ABS(F19)</f>
        <v>2.6626666666666674</v>
      </c>
      <c r="H19" t="b">
        <f>IF(SIGN(D19) = SIGN(E19), TRUE, FALSE)</f>
        <v>1</v>
      </c>
      <c r="I19" t="b">
        <f t="shared" si="0"/>
        <v>0</v>
      </c>
      <c r="J19" t="b">
        <f t="shared" si="1"/>
        <v>0</v>
      </c>
    </row>
    <row r="20" spans="3:10" x14ac:dyDescent="0.3">
      <c r="C20" t="s">
        <v>4</v>
      </c>
      <c r="D20" s="1">
        <v>-9.913333333333334</v>
      </c>
      <c r="E20">
        <v>-7.79</v>
      </c>
      <c r="F20" s="1">
        <f>E20-D20</f>
        <v>2.123333333333334</v>
      </c>
      <c r="G20" s="1">
        <f>ABS(F20)</f>
        <v>2.123333333333334</v>
      </c>
      <c r="H20" t="b">
        <f>IF(SIGN(D20) = SIGN(E20), TRUE, FALSE)</f>
        <v>1</v>
      </c>
      <c r="I20" t="b">
        <f t="shared" si="0"/>
        <v>0</v>
      </c>
      <c r="J20" t="b">
        <f t="shared" si="1"/>
        <v>0</v>
      </c>
    </row>
    <row r="21" spans="3:10" x14ac:dyDescent="0.3">
      <c r="C21" t="s">
        <v>23</v>
      </c>
      <c r="D21" s="1">
        <v>5.0533333333333328</v>
      </c>
      <c r="E21">
        <v>9.02</v>
      </c>
      <c r="F21" s="1">
        <f>E21-D21</f>
        <v>3.9666666666666668</v>
      </c>
      <c r="G21" s="1">
        <f>ABS(F21)</f>
        <v>3.9666666666666668</v>
      </c>
      <c r="H21" t="b">
        <f>IF(SIGN(D21) = SIGN(E21), TRUE, FALSE)</f>
        <v>1</v>
      </c>
      <c r="I21" t="b">
        <f t="shared" si="0"/>
        <v>0</v>
      </c>
      <c r="J21" t="b">
        <f t="shared" si="1"/>
        <v>0</v>
      </c>
    </row>
    <row r="22" spans="3:10" x14ac:dyDescent="0.3">
      <c r="C22" t="s">
        <v>6</v>
      </c>
      <c r="D22" s="1">
        <v>-8.1780000000000008</v>
      </c>
      <c r="E22">
        <v>-7.94</v>
      </c>
      <c r="F22" s="1">
        <f>E22-D22</f>
        <v>0.23800000000000043</v>
      </c>
      <c r="G22" s="1">
        <f>ABS(F22)</f>
        <v>0.23800000000000043</v>
      </c>
      <c r="H22" t="b">
        <f>IF(SIGN(D22) = SIGN(E22), TRUE, FALSE)</f>
        <v>1</v>
      </c>
      <c r="I22" t="b">
        <f t="shared" si="0"/>
        <v>0</v>
      </c>
      <c r="J22" t="b">
        <f t="shared" si="1"/>
        <v>0</v>
      </c>
    </row>
    <row r="23" spans="3:10" x14ac:dyDescent="0.3">
      <c r="C23" t="s">
        <v>2</v>
      </c>
      <c r="D23" s="1">
        <v>-11.984666666666666</v>
      </c>
      <c r="E23">
        <v>-9.41</v>
      </c>
      <c r="F23" s="1">
        <f>E23-D23</f>
        <v>2.5746666666666655</v>
      </c>
      <c r="G23" s="1">
        <f>ABS(F23)</f>
        <v>2.5746666666666655</v>
      </c>
      <c r="H23" t="b">
        <f>IF(SIGN(D23) = SIGN(E23), TRUE, FALSE)</f>
        <v>1</v>
      </c>
      <c r="I23" t="b">
        <f t="shared" si="0"/>
        <v>0</v>
      </c>
      <c r="J23" t="b">
        <f t="shared" si="1"/>
        <v>0</v>
      </c>
    </row>
    <row r="24" spans="3:10" x14ac:dyDescent="0.3">
      <c r="C24" s="3" t="s">
        <v>22</v>
      </c>
      <c r="D24" s="1">
        <v>-16.956000000000003</v>
      </c>
      <c r="E24">
        <v>-15</v>
      </c>
      <c r="F24" s="1">
        <f>E24-D24</f>
        <v>1.9560000000000031</v>
      </c>
      <c r="G24" s="1">
        <f>ABS(F24)</f>
        <v>1.9560000000000031</v>
      </c>
      <c r="H24" t="b">
        <f>IF(SIGN(D24) = SIGN(E24), TRUE, FALSE)</f>
        <v>1</v>
      </c>
      <c r="I24" t="b">
        <f t="shared" si="0"/>
        <v>0</v>
      </c>
      <c r="J24" t="b">
        <f t="shared" si="1"/>
        <v>0</v>
      </c>
    </row>
    <row r="25" spans="3:10" x14ac:dyDescent="0.3">
      <c r="C25" t="s">
        <v>16</v>
      </c>
      <c r="D25" s="1">
        <v>4.5526666666666671</v>
      </c>
      <c r="E25">
        <v>7.91</v>
      </c>
      <c r="F25" s="1">
        <f>E25-D25</f>
        <v>3.3573333333333331</v>
      </c>
      <c r="G25" s="1">
        <f>ABS(F25)</f>
        <v>3.3573333333333331</v>
      </c>
      <c r="H25" t="b">
        <f>IF(SIGN(D25) = SIGN(E25), TRUE, FALSE)</f>
        <v>1</v>
      </c>
      <c r="I25" t="b">
        <f t="shared" si="0"/>
        <v>0</v>
      </c>
      <c r="J25" t="b">
        <f t="shared" si="1"/>
        <v>0</v>
      </c>
    </row>
  </sheetData>
  <autoFilter ref="C3:J3" xr:uid="{3A43B9B8-5DA8-4CB9-B5A7-BC02079ECD7B}">
    <sortState xmlns:xlrd2="http://schemas.microsoft.com/office/spreadsheetml/2017/richdata2" ref="C4:J25">
      <sortCondition ref="C3"/>
    </sortState>
  </autoFilter>
  <conditionalFormatting sqref="G4:G25">
    <cfRule type="cellIs" dxfId="8" priority="1" operator="between">
      <formula>-2.5</formula>
      <formula>2.5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07A1-6A92-498D-A63B-A99E571A8362}">
  <dimension ref="C3:Q25"/>
  <sheetViews>
    <sheetView workbookViewId="0">
      <selection activeCell="K6" sqref="K6"/>
    </sheetView>
  </sheetViews>
  <sheetFormatPr defaultRowHeight="14.4" x14ac:dyDescent="0.3"/>
  <cols>
    <col min="11" max="11" width="8.88671875" customWidth="1"/>
    <col min="16" max="16" width="22.6640625" customWidth="1"/>
  </cols>
  <sheetData>
    <row r="3" spans="3:17" x14ac:dyDescent="0.3"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29</v>
      </c>
      <c r="I3" s="2" t="s">
        <v>36</v>
      </c>
      <c r="J3" s="2" t="s">
        <v>38</v>
      </c>
    </row>
    <row r="4" spans="3:17" x14ac:dyDescent="0.3">
      <c r="C4" t="s">
        <v>15</v>
      </c>
      <c r="D4">
        <v>1.7800000000000025</v>
      </c>
      <c r="E4">
        <v>5.86</v>
      </c>
      <c r="F4" s="1">
        <f>E4-D4</f>
        <v>4.0799999999999983</v>
      </c>
      <c r="G4" s="1">
        <f t="shared" ref="G4:G25" si="0">ABS(F4)</f>
        <v>4.0799999999999983</v>
      </c>
      <c r="H4" t="b">
        <f t="shared" ref="H4:H25" si="1">IF(SIGN(D4) = SIGN(E4), TRUE, FALSE)</f>
        <v>1</v>
      </c>
      <c r="I4" t="b">
        <f>ABS((G4 - AVERAGE($G$4:$G$25)) / _xlfn.STDEV.P($G$4:$G$25)) &gt; 1.75</f>
        <v>0</v>
      </c>
      <c r="J4" t="b">
        <f t="shared" ref="J4:J25" si="2">ABS(0.6745 * (G4 - $L$7) / $L$9) &gt; 1.5</f>
        <v>0</v>
      </c>
    </row>
    <row r="5" spans="3:17" x14ac:dyDescent="0.3">
      <c r="C5" t="s">
        <v>7</v>
      </c>
      <c r="D5" s="1">
        <v>-9.8533333333333335</v>
      </c>
      <c r="E5">
        <v>-9.93</v>
      </c>
      <c r="F5" s="1">
        <f t="shared" ref="F5:F25" si="3">E5-D5</f>
        <v>-7.6666666666666217E-2</v>
      </c>
      <c r="G5" s="1">
        <f t="shared" si="0"/>
        <v>7.6666666666666217E-2</v>
      </c>
      <c r="H5" t="b">
        <f t="shared" si="1"/>
        <v>1</v>
      </c>
      <c r="I5" t="b">
        <f t="shared" ref="I5:I25" si="4">ABS((G5 - AVERAGE($G$4:$G$25)) / _xlfn.STDEV.P($G$4:$G$25)) &gt; 2</f>
        <v>0</v>
      </c>
      <c r="J5" t="b">
        <f t="shared" si="2"/>
        <v>1</v>
      </c>
    </row>
    <row r="6" spans="3:17" x14ac:dyDescent="0.3">
      <c r="C6" t="s">
        <v>10</v>
      </c>
      <c r="D6" s="1">
        <v>-4.3966666666666665</v>
      </c>
      <c r="E6">
        <v>-1.93</v>
      </c>
      <c r="F6" s="1">
        <f t="shared" si="3"/>
        <v>2.4666666666666668</v>
      </c>
      <c r="G6" s="1">
        <f t="shared" si="0"/>
        <v>2.4666666666666668</v>
      </c>
      <c r="H6" t="b">
        <f t="shared" si="1"/>
        <v>1</v>
      </c>
      <c r="I6" t="b">
        <f t="shared" si="4"/>
        <v>0</v>
      </c>
      <c r="J6" t="b">
        <f t="shared" si="2"/>
        <v>0</v>
      </c>
      <c r="K6" s="9" t="s">
        <v>27</v>
      </c>
      <c r="L6" s="10">
        <f>AVERAGE($G$4:$G$25)</f>
        <v>3.4999696969696972</v>
      </c>
      <c r="P6" t="s">
        <v>31</v>
      </c>
      <c r="Q6">
        <f>COUNTIF(H4:H25, TRUE)</f>
        <v>21</v>
      </c>
    </row>
    <row r="7" spans="3:17" x14ac:dyDescent="0.3">
      <c r="C7" t="s">
        <v>14</v>
      </c>
      <c r="D7" s="1">
        <v>-2.6866666666666683</v>
      </c>
      <c r="E7">
        <v>0.89</v>
      </c>
      <c r="F7" s="1">
        <f t="shared" si="3"/>
        <v>3.5766666666666684</v>
      </c>
      <c r="G7" s="1">
        <f t="shared" si="0"/>
        <v>3.5766666666666684</v>
      </c>
      <c r="H7" t="b">
        <f t="shared" si="1"/>
        <v>0</v>
      </c>
      <c r="I7" t="b">
        <f t="shared" si="4"/>
        <v>0</v>
      </c>
      <c r="J7" t="b">
        <f t="shared" si="2"/>
        <v>0</v>
      </c>
      <c r="K7" s="9" t="s">
        <v>28</v>
      </c>
      <c r="L7" s="10">
        <f>MEDIAN($G$4:$G$25)</f>
        <v>3.8283333333333331</v>
      </c>
      <c r="P7" t="s">
        <v>32</v>
      </c>
      <c r="Q7">
        <f>COUNTIF(G4:G25, "&lt; 2.5")</f>
        <v>7</v>
      </c>
    </row>
    <row r="8" spans="3:17" x14ac:dyDescent="0.3">
      <c r="C8" t="s">
        <v>9</v>
      </c>
      <c r="D8" s="1">
        <v>-6.2866666666666671</v>
      </c>
      <c r="E8">
        <v>-6.7</v>
      </c>
      <c r="F8" s="1">
        <f t="shared" si="3"/>
        <v>-0.41333333333333311</v>
      </c>
      <c r="G8" s="1">
        <f t="shared" si="0"/>
        <v>0.41333333333333311</v>
      </c>
      <c r="H8" t="b">
        <f t="shared" si="1"/>
        <v>1</v>
      </c>
      <c r="I8" t="b">
        <f t="shared" si="4"/>
        <v>0</v>
      </c>
      <c r="J8" t="b">
        <f t="shared" si="2"/>
        <v>1</v>
      </c>
      <c r="K8" s="9" t="s">
        <v>30</v>
      </c>
      <c r="L8" s="11">
        <f>Q6/22</f>
        <v>0.95454545454545459</v>
      </c>
      <c r="P8" t="s">
        <v>33</v>
      </c>
      <c r="Q8" s="1">
        <f>_xlfn.QUARTILE.INC(G4:G25, 1)</f>
        <v>2.4354166666666672</v>
      </c>
    </row>
    <row r="9" spans="3:17" x14ac:dyDescent="0.3">
      <c r="C9" t="s">
        <v>26</v>
      </c>
      <c r="D9" s="1">
        <v>8.4350000000000005</v>
      </c>
      <c r="E9">
        <v>6.01</v>
      </c>
      <c r="F9" s="1">
        <f t="shared" si="3"/>
        <v>-2.4250000000000007</v>
      </c>
      <c r="G9" s="1">
        <f t="shared" si="0"/>
        <v>2.4250000000000007</v>
      </c>
      <c r="H9" t="b">
        <f t="shared" si="1"/>
        <v>1</v>
      </c>
      <c r="I9" t="b">
        <f t="shared" si="4"/>
        <v>0</v>
      </c>
      <c r="J9" t="b">
        <f t="shared" si="2"/>
        <v>0</v>
      </c>
      <c r="K9" s="9" t="s">
        <v>39</v>
      </c>
      <c r="L9" s="10" cm="1">
        <f t="array" ref="L9">MEDIAN(ABS($G$4:$G$25 - L7))</f>
        <v>1.3824999999999994</v>
      </c>
      <c r="P9" t="s">
        <v>34</v>
      </c>
      <c r="Q9" s="1">
        <f>_xlfn.QUARTILE.INC(G4:G25, 3)</f>
        <v>4.8041666666666663</v>
      </c>
    </row>
    <row r="10" spans="3:17" x14ac:dyDescent="0.3">
      <c r="C10" t="s">
        <v>25</v>
      </c>
      <c r="D10">
        <v>7.48</v>
      </c>
      <c r="E10">
        <v>11.69</v>
      </c>
      <c r="F10" s="1">
        <f t="shared" si="3"/>
        <v>4.2099999999999991</v>
      </c>
      <c r="G10" s="1">
        <f t="shared" si="0"/>
        <v>4.2099999999999991</v>
      </c>
      <c r="H10" t="b">
        <f t="shared" si="1"/>
        <v>1</v>
      </c>
      <c r="I10" t="b">
        <f t="shared" si="4"/>
        <v>0</v>
      </c>
      <c r="J10" t="b">
        <f t="shared" si="2"/>
        <v>0</v>
      </c>
      <c r="K10" s="9" t="s">
        <v>46</v>
      </c>
      <c r="L10" s="12">
        <f>Q7/COUNT(G4:G25)</f>
        <v>0.31818181818181818</v>
      </c>
      <c r="P10" t="s">
        <v>35</v>
      </c>
      <c r="Q10" s="1">
        <f>Q9-Q8</f>
        <v>2.368749999999999</v>
      </c>
    </row>
    <row r="11" spans="3:17" x14ac:dyDescent="0.3">
      <c r="C11" t="s">
        <v>1</v>
      </c>
      <c r="D11" s="1">
        <v>-16.817333333333334</v>
      </c>
      <c r="E11">
        <v>-11.23</v>
      </c>
      <c r="F11" s="1">
        <f t="shared" si="3"/>
        <v>5.5873333333333335</v>
      </c>
      <c r="G11" s="1">
        <f t="shared" si="0"/>
        <v>5.5873333333333335</v>
      </c>
      <c r="H11" t="b">
        <f t="shared" si="1"/>
        <v>1</v>
      </c>
      <c r="I11" t="b">
        <f t="shared" si="4"/>
        <v>0</v>
      </c>
      <c r="J11" t="b">
        <f t="shared" si="2"/>
        <v>0</v>
      </c>
      <c r="K11" s="9"/>
      <c r="L11" s="9"/>
      <c r="P11" t="s">
        <v>40</v>
      </c>
      <c r="Q11" s="6">
        <f>COUNTIF($I$4:$I$25, TRUE)</f>
        <v>0</v>
      </c>
    </row>
    <row r="12" spans="3:17" x14ac:dyDescent="0.3">
      <c r="C12" t="s">
        <v>11</v>
      </c>
      <c r="D12" s="1">
        <v>-3.5999999999999996</v>
      </c>
      <c r="E12">
        <v>-6.48</v>
      </c>
      <c r="F12" s="1">
        <f t="shared" si="3"/>
        <v>-2.8800000000000008</v>
      </c>
      <c r="G12" s="1">
        <f t="shared" si="0"/>
        <v>2.8800000000000008</v>
      </c>
      <c r="H12" t="b">
        <f t="shared" si="1"/>
        <v>1</v>
      </c>
      <c r="I12" t="b">
        <f t="shared" si="4"/>
        <v>0</v>
      </c>
      <c r="J12" t="b">
        <f t="shared" si="2"/>
        <v>0</v>
      </c>
      <c r="K12" s="9"/>
      <c r="L12" s="9"/>
      <c r="P12" t="s">
        <v>37</v>
      </c>
      <c r="Q12" s="5">
        <f>$Q$11/COUNTA($I$4:$I$25)</f>
        <v>0</v>
      </c>
    </row>
    <row r="13" spans="3:17" x14ac:dyDescent="0.3">
      <c r="C13" s="3" t="s">
        <v>21</v>
      </c>
      <c r="D13" s="1">
        <v>-20.828333333333333</v>
      </c>
      <c r="E13">
        <v>-17.96</v>
      </c>
      <c r="F13" s="1">
        <f t="shared" si="3"/>
        <v>2.8683333333333323</v>
      </c>
      <c r="G13" s="1">
        <f t="shared" si="0"/>
        <v>2.8683333333333323</v>
      </c>
      <c r="H13" t="b">
        <f t="shared" si="1"/>
        <v>1</v>
      </c>
      <c r="I13" t="b">
        <f t="shared" si="4"/>
        <v>0</v>
      </c>
      <c r="J13" t="b">
        <f t="shared" si="2"/>
        <v>0</v>
      </c>
      <c r="P13" t="s">
        <v>41</v>
      </c>
      <c r="Q13">
        <f>COUNTIF($J$4:$J$25, TRUE)</f>
        <v>4</v>
      </c>
    </row>
    <row r="14" spans="3:17" x14ac:dyDescent="0.3">
      <c r="C14" t="s">
        <v>13</v>
      </c>
      <c r="D14" s="1">
        <v>-3.0200000000000005</v>
      </c>
      <c r="E14">
        <v>-4.38</v>
      </c>
      <c r="F14" s="1">
        <f t="shared" si="3"/>
        <v>-1.3599999999999994</v>
      </c>
      <c r="G14" s="1">
        <f t="shared" si="0"/>
        <v>1.3599999999999994</v>
      </c>
      <c r="H14" t="b">
        <f t="shared" si="1"/>
        <v>1</v>
      </c>
      <c r="I14" t="b">
        <f t="shared" si="4"/>
        <v>0</v>
      </c>
      <c r="J14" t="b">
        <f t="shared" si="2"/>
        <v>0</v>
      </c>
      <c r="P14" t="s">
        <v>37</v>
      </c>
      <c r="Q14" s="5">
        <f>$Q$13/COUNTA($J$4:$J$25)</f>
        <v>0.18181818181818182</v>
      </c>
    </row>
    <row r="15" spans="3:17" x14ac:dyDescent="0.3">
      <c r="C15" t="s">
        <v>12</v>
      </c>
      <c r="D15" s="1">
        <v>-3.0566666666666684</v>
      </c>
      <c r="E15">
        <v>-3.3</v>
      </c>
      <c r="F15" s="1">
        <f t="shared" si="3"/>
        <v>-0.2433333333333314</v>
      </c>
      <c r="G15" s="1">
        <f t="shared" si="0"/>
        <v>0.2433333333333314</v>
      </c>
      <c r="H15" t="b">
        <f t="shared" si="1"/>
        <v>1</v>
      </c>
      <c r="I15" t="b">
        <f t="shared" si="4"/>
        <v>0</v>
      </c>
      <c r="J15" t="b">
        <f t="shared" si="2"/>
        <v>1</v>
      </c>
    </row>
    <row r="16" spans="3:17" x14ac:dyDescent="0.3">
      <c r="C16" t="s">
        <v>3</v>
      </c>
      <c r="D16" s="1">
        <v>-13.504</v>
      </c>
      <c r="E16">
        <v>-6.52</v>
      </c>
      <c r="F16" s="1">
        <f t="shared" si="3"/>
        <v>6.984</v>
      </c>
      <c r="G16" s="1">
        <f t="shared" si="0"/>
        <v>6.984</v>
      </c>
      <c r="H16" t="b">
        <f t="shared" si="1"/>
        <v>1</v>
      </c>
      <c r="I16" t="b">
        <f t="shared" si="4"/>
        <v>0</v>
      </c>
      <c r="J16" t="b">
        <f t="shared" si="2"/>
        <v>1</v>
      </c>
    </row>
    <row r="17" spans="3:10" x14ac:dyDescent="0.3">
      <c r="C17" t="s">
        <v>8</v>
      </c>
      <c r="D17" s="1">
        <v>-8.9513333333333343</v>
      </c>
      <c r="E17">
        <v>-3.66</v>
      </c>
      <c r="F17" s="1">
        <f t="shared" si="3"/>
        <v>5.2913333333333341</v>
      </c>
      <c r="G17" s="1">
        <f t="shared" si="0"/>
        <v>5.2913333333333341</v>
      </c>
      <c r="H17" t="b">
        <f t="shared" si="1"/>
        <v>1</v>
      </c>
      <c r="I17" t="b">
        <f t="shared" si="4"/>
        <v>0</v>
      </c>
      <c r="J17" t="b">
        <f t="shared" si="2"/>
        <v>0</v>
      </c>
    </row>
    <row r="18" spans="3:10" x14ac:dyDescent="0.3">
      <c r="C18" t="s">
        <v>24</v>
      </c>
      <c r="D18" s="1">
        <v>6.636000000000001</v>
      </c>
      <c r="E18">
        <v>5.04</v>
      </c>
      <c r="F18" s="1">
        <f t="shared" si="3"/>
        <v>-1.596000000000001</v>
      </c>
      <c r="G18" s="1">
        <f t="shared" si="0"/>
        <v>1.596000000000001</v>
      </c>
      <c r="H18" t="b">
        <f t="shared" si="1"/>
        <v>1</v>
      </c>
      <c r="I18" t="b">
        <f t="shared" si="4"/>
        <v>0</v>
      </c>
      <c r="J18" t="b">
        <f t="shared" si="2"/>
        <v>0</v>
      </c>
    </row>
    <row r="19" spans="3:10" x14ac:dyDescent="0.3">
      <c r="C19" t="s">
        <v>5</v>
      </c>
      <c r="D19" s="1">
        <v>-10.910666666666668</v>
      </c>
      <c r="E19">
        <v>-6.12</v>
      </c>
      <c r="F19" s="1">
        <f t="shared" si="3"/>
        <v>4.7906666666666675</v>
      </c>
      <c r="G19" s="1">
        <f t="shared" si="0"/>
        <v>4.7906666666666675</v>
      </c>
      <c r="H19" t="b">
        <f t="shared" si="1"/>
        <v>1</v>
      </c>
      <c r="I19" t="b">
        <f t="shared" si="4"/>
        <v>0</v>
      </c>
      <c r="J19" t="b">
        <f t="shared" si="2"/>
        <v>0</v>
      </c>
    </row>
    <row r="20" spans="3:10" x14ac:dyDescent="0.3">
      <c r="C20" t="s">
        <v>4</v>
      </c>
      <c r="D20" s="1">
        <v>-12.253333333333334</v>
      </c>
      <c r="E20">
        <v>-7.79</v>
      </c>
      <c r="F20" s="1">
        <f t="shared" si="3"/>
        <v>4.4633333333333338</v>
      </c>
      <c r="G20" s="1">
        <f t="shared" si="0"/>
        <v>4.4633333333333338</v>
      </c>
      <c r="H20" t="b">
        <f t="shared" si="1"/>
        <v>1</v>
      </c>
      <c r="I20" t="b">
        <f t="shared" si="4"/>
        <v>0</v>
      </c>
      <c r="J20" t="b">
        <f t="shared" si="2"/>
        <v>0</v>
      </c>
    </row>
    <row r="21" spans="3:10" x14ac:dyDescent="0.3">
      <c r="C21" t="s">
        <v>23</v>
      </c>
      <c r="D21" s="1">
        <v>2.7133333333333329</v>
      </c>
      <c r="E21">
        <v>9.02</v>
      </c>
      <c r="F21" s="1">
        <f t="shared" si="3"/>
        <v>6.3066666666666666</v>
      </c>
      <c r="G21" s="1">
        <f t="shared" si="0"/>
        <v>6.3066666666666666</v>
      </c>
      <c r="H21" t="b">
        <f t="shared" si="1"/>
        <v>1</v>
      </c>
      <c r="I21" t="b">
        <f t="shared" si="4"/>
        <v>0</v>
      </c>
      <c r="J21" t="b">
        <f t="shared" si="2"/>
        <v>0</v>
      </c>
    </row>
    <row r="22" spans="3:10" x14ac:dyDescent="0.3">
      <c r="C22" t="s">
        <v>6</v>
      </c>
      <c r="D22" s="1">
        <v>-10.73</v>
      </c>
      <c r="E22">
        <v>-7.94</v>
      </c>
      <c r="F22" s="1">
        <f t="shared" si="3"/>
        <v>2.79</v>
      </c>
      <c r="G22" s="1">
        <f t="shared" si="0"/>
        <v>2.79</v>
      </c>
      <c r="H22" t="b">
        <f t="shared" si="1"/>
        <v>1</v>
      </c>
      <c r="I22" t="b">
        <f t="shared" si="4"/>
        <v>0</v>
      </c>
      <c r="J22" t="b">
        <f t="shared" si="2"/>
        <v>0</v>
      </c>
    </row>
    <row r="23" spans="3:10" x14ac:dyDescent="0.3">
      <c r="C23" t="s">
        <v>2</v>
      </c>
      <c r="D23" s="1">
        <v>-14.218666666666666</v>
      </c>
      <c r="E23">
        <v>-9.41</v>
      </c>
      <c r="F23" s="1">
        <f t="shared" si="3"/>
        <v>4.8086666666666655</v>
      </c>
      <c r="G23" s="1">
        <f t="shared" si="0"/>
        <v>4.8086666666666655</v>
      </c>
      <c r="H23" t="b">
        <f t="shared" si="1"/>
        <v>1</v>
      </c>
      <c r="I23" t="b">
        <f t="shared" si="4"/>
        <v>0</v>
      </c>
      <c r="J23" t="b">
        <f t="shared" si="2"/>
        <v>0</v>
      </c>
    </row>
    <row r="24" spans="3:10" x14ac:dyDescent="0.3">
      <c r="C24" s="3" t="s">
        <v>22</v>
      </c>
      <c r="D24" s="1">
        <v>-19.084</v>
      </c>
      <c r="E24">
        <v>-15</v>
      </c>
      <c r="F24" s="1">
        <f t="shared" si="3"/>
        <v>4.0839999999999996</v>
      </c>
      <c r="G24" s="1">
        <f t="shared" si="0"/>
        <v>4.0839999999999996</v>
      </c>
      <c r="H24" t="b">
        <f t="shared" si="1"/>
        <v>1</v>
      </c>
      <c r="I24" t="b">
        <f t="shared" si="4"/>
        <v>0</v>
      </c>
      <c r="J24" t="b">
        <f t="shared" si="2"/>
        <v>0</v>
      </c>
    </row>
    <row r="25" spans="3:10" x14ac:dyDescent="0.3">
      <c r="C25" t="s">
        <v>16</v>
      </c>
      <c r="D25" s="1">
        <v>2.2126666666666672</v>
      </c>
      <c r="E25">
        <v>7.91</v>
      </c>
      <c r="F25" s="1">
        <f t="shared" si="3"/>
        <v>5.6973333333333329</v>
      </c>
      <c r="G25" s="1">
        <f t="shared" si="0"/>
        <v>5.6973333333333329</v>
      </c>
      <c r="H25" t="b">
        <f t="shared" si="1"/>
        <v>1</v>
      </c>
      <c r="I25" t="b">
        <f t="shared" si="4"/>
        <v>0</v>
      </c>
      <c r="J25" t="b">
        <f t="shared" si="2"/>
        <v>0</v>
      </c>
    </row>
  </sheetData>
  <conditionalFormatting sqref="F4:F25">
    <cfRule type="cellIs" dxfId="31" priority="1" operator="between">
      <formula>-1</formula>
      <formula>1</formula>
    </cfRule>
    <cfRule type="cellIs" dxfId="30" priority="2" operator="between">
      <formula>1</formula>
      <formula>2.5</formula>
    </cfRule>
    <cfRule type="cellIs" dxfId="29" priority="3" operator="between">
      <formula>-2.5</formula>
      <formula>-1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My Projections</vt:lpstr>
      <vt:lpstr>Entire Model</vt:lpstr>
      <vt:lpstr>Env weighting</vt:lpstr>
      <vt:lpstr>Env + No Incumbency</vt:lpstr>
      <vt:lpstr>If Gov Pred Was 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Vankayala, Krishna</cp:lastModifiedBy>
  <dcterms:created xsi:type="dcterms:W3CDTF">2025-11-05T13:49:30Z</dcterms:created>
  <dcterms:modified xsi:type="dcterms:W3CDTF">2025-11-25T21:13:40Z</dcterms:modified>
</cp:coreProperties>
</file>