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ocuments\Swing District Project\Final Project Dropbox\"/>
    </mc:Choice>
  </mc:AlternateContent>
  <xr:revisionPtr revIDLastSave="0" documentId="13_ncr:1_{8AC09B39-055D-4BE6-B872-E109B470AF80}" xr6:coauthVersionLast="47" xr6:coauthVersionMax="47" xr10:uidLastSave="{00000000-0000-0000-0000-000000000000}"/>
  <bookViews>
    <workbookView xWindow="-108" yWindow="-108" windowWidth="23256" windowHeight="13896" firstSheet="1" activeTab="4" xr2:uid="{5FA85BF1-DE66-4DB9-8AB3-2E273D578697}"/>
  </bookViews>
  <sheets>
    <sheet name="VA HoD Results" sheetId="1" r:id="rId1"/>
    <sheet name="HOD Swing Calculator '21" sheetId="5" r:id="rId2"/>
    <sheet name="HoD Incumbency Calculator" sheetId="4" r:id="rId3"/>
    <sheet name="Final Calculator" sheetId="6" r:id="rId4"/>
    <sheet name="Bibliography" sheetId="8" r:id="rId5"/>
    <sheet name="$Divider Sheet$" sheetId="7" r:id="rId6"/>
    <sheet name="HOD Swing Calculator '24" sheetId="3" r:id="rId7"/>
    <sheet name="VA HoD Average Swing" sheetId="2" r:id="rId8"/>
  </sheets>
  <definedNames>
    <definedName name="_xlnm._FilterDatabase" localSheetId="3" hidden="1">'Final Calculator'!$C$6:$O$6</definedName>
    <definedName name="_xlnm._FilterDatabase" localSheetId="2" hidden="1">'HoD Incumbency Calculator'!$C$6:$H$28</definedName>
    <definedName name="_xlnm._FilterDatabase" localSheetId="1" hidden="1">'HOD Swing Calculator ''21'!$C$6:$T$6</definedName>
    <definedName name="_xlnm._FilterDatabase" localSheetId="6" hidden="1">'HOD Swing Calculator ''24'!$C$6:$T$6</definedName>
    <definedName name="_xlnm._FilterDatabase" localSheetId="7" hidden="1">'VA HoD Average Swing'!$C$6:$J$6</definedName>
    <definedName name="_xlnm._FilterDatabase" localSheetId="0" hidden="1">'VA HoD Results'!$C$6:$AI$6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K7" i="5"/>
  <c r="J7" i="5"/>
  <c r="N18" i="5"/>
  <c r="H18" i="4"/>
  <c r="H17" i="4"/>
  <c r="H28" i="4"/>
  <c r="H27" i="4"/>
  <c r="H26" i="4"/>
  <c r="H12" i="4"/>
  <c r="H25" i="4"/>
  <c r="H24" i="4"/>
  <c r="H23" i="4"/>
  <c r="H22" i="4"/>
  <c r="H21" i="4"/>
  <c r="H20" i="4"/>
  <c r="H19" i="4"/>
  <c r="H16" i="4"/>
  <c r="H15" i="4"/>
  <c r="H14" i="4"/>
  <c r="H13" i="4"/>
  <c r="H11" i="4"/>
  <c r="H10" i="4"/>
  <c r="H9" i="4"/>
  <c r="H8" i="4"/>
  <c r="H7" i="4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7" i="3"/>
  <c r="K28" i="5"/>
  <c r="J28" i="5"/>
  <c r="I28" i="5"/>
  <c r="J27" i="5"/>
  <c r="K26" i="5"/>
  <c r="J26" i="5"/>
  <c r="I26" i="5"/>
  <c r="J25" i="5"/>
  <c r="K24" i="5"/>
  <c r="J24" i="5"/>
  <c r="K23" i="5"/>
  <c r="J23" i="5"/>
  <c r="I23" i="5"/>
  <c r="J22" i="5"/>
  <c r="I22" i="5"/>
  <c r="J21" i="5"/>
  <c r="J20" i="5"/>
  <c r="I20" i="5"/>
  <c r="J19" i="5"/>
  <c r="K18" i="5"/>
  <c r="J18" i="5"/>
  <c r="J17" i="5"/>
  <c r="I17" i="5"/>
  <c r="J16" i="5"/>
  <c r="I16" i="5"/>
  <c r="J15" i="5"/>
  <c r="I15" i="5"/>
  <c r="M15" i="5" s="1"/>
  <c r="K14" i="5"/>
  <c r="J14" i="5"/>
  <c r="I14" i="5"/>
  <c r="J13" i="5"/>
  <c r="J12" i="5"/>
  <c r="J11" i="5"/>
  <c r="I11" i="5"/>
  <c r="K10" i="5"/>
  <c r="J10" i="5"/>
  <c r="I10" i="5"/>
  <c r="J9" i="5"/>
  <c r="J8" i="5"/>
  <c r="I8" i="5"/>
  <c r="I7" i="5"/>
  <c r="F14" i="4"/>
  <c r="F27" i="4"/>
  <c r="F22" i="4"/>
  <c r="F19" i="4"/>
  <c r="F23" i="4"/>
  <c r="F26" i="4"/>
  <c r="F25" i="4"/>
  <c r="F20" i="4"/>
  <c r="F8" i="4"/>
  <c r="F9" i="4"/>
  <c r="F18" i="4"/>
  <c r="F15" i="4"/>
  <c r="F17" i="4"/>
  <c r="F11" i="4"/>
  <c r="F28" i="4"/>
  <c r="F7" i="4"/>
  <c r="F10" i="4"/>
  <c r="F24" i="4"/>
  <c r="F12" i="4"/>
  <c r="F21" i="4"/>
  <c r="F13" i="4"/>
  <c r="F16" i="4"/>
  <c r="L14" i="3"/>
  <c r="L27" i="3"/>
  <c r="L22" i="3"/>
  <c r="L19" i="3"/>
  <c r="L23" i="3"/>
  <c r="L26" i="3"/>
  <c r="L25" i="3"/>
  <c r="L20" i="3"/>
  <c r="L8" i="3"/>
  <c r="L9" i="3"/>
  <c r="L18" i="3"/>
  <c r="L15" i="3"/>
  <c r="L17" i="3"/>
  <c r="L11" i="3"/>
  <c r="L28" i="3"/>
  <c r="L10" i="3"/>
  <c r="L24" i="3"/>
  <c r="L12" i="3"/>
  <c r="L21" i="3"/>
  <c r="L13" i="3"/>
  <c r="L16" i="3"/>
  <c r="K14" i="3"/>
  <c r="K27" i="3"/>
  <c r="K23" i="3"/>
  <c r="K26" i="3"/>
  <c r="K25" i="3"/>
  <c r="K20" i="3"/>
  <c r="K18" i="3"/>
  <c r="K15" i="3"/>
  <c r="K17" i="3"/>
  <c r="K7" i="3"/>
  <c r="K10" i="3"/>
  <c r="K24" i="3"/>
  <c r="K12" i="3"/>
  <c r="K21" i="3"/>
  <c r="I11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7" i="3"/>
  <c r="I10" i="3"/>
  <c r="I12" i="3"/>
  <c r="I15" i="3"/>
  <c r="I16" i="3"/>
  <c r="I17" i="3"/>
  <c r="M17" i="3" s="1"/>
  <c r="I18" i="3"/>
  <c r="I19" i="3"/>
  <c r="I22" i="3"/>
  <c r="I23" i="3"/>
  <c r="I24" i="3"/>
  <c r="I25" i="3"/>
  <c r="I28" i="3"/>
  <c r="I7" i="3"/>
  <c r="F11" i="2"/>
  <c r="F20" i="2"/>
  <c r="F26" i="2"/>
  <c r="F21" i="2"/>
  <c r="F28" i="2"/>
  <c r="F23" i="2"/>
  <c r="F7" i="2"/>
  <c r="F18" i="2"/>
  <c r="F8" i="2"/>
  <c r="F19" i="2"/>
  <c r="F17" i="2"/>
  <c r="F13" i="2"/>
  <c r="F16" i="2"/>
  <c r="F27" i="2"/>
  <c r="F10" i="2"/>
  <c r="F12" i="2"/>
  <c r="F22" i="2"/>
  <c r="F15" i="2"/>
  <c r="F14" i="2"/>
  <c r="F9" i="2"/>
  <c r="F25" i="2"/>
  <c r="F24" i="2"/>
  <c r="AB8" i="1"/>
  <c r="AB9" i="1"/>
  <c r="K27" i="5" s="1"/>
  <c r="AB10" i="1"/>
  <c r="K22" i="3" s="1"/>
  <c r="AB11" i="1"/>
  <c r="K19" i="3" s="1"/>
  <c r="AB12" i="1"/>
  <c r="AB13" i="1"/>
  <c r="AB14" i="1"/>
  <c r="K25" i="5" s="1"/>
  <c r="AB15" i="1"/>
  <c r="K20" i="5" s="1"/>
  <c r="AB16" i="1"/>
  <c r="K8" i="5" s="1"/>
  <c r="AB17" i="1"/>
  <c r="K9" i="5" s="1"/>
  <c r="AB18" i="1"/>
  <c r="AB19" i="1"/>
  <c r="K15" i="5" s="1"/>
  <c r="AB20" i="1"/>
  <c r="K17" i="5" s="1"/>
  <c r="AB21" i="1"/>
  <c r="K11" i="3" s="1"/>
  <c r="AB22" i="1"/>
  <c r="K28" i="3" s="1"/>
  <c r="AB23" i="1"/>
  <c r="AB24" i="1"/>
  <c r="AB25" i="1"/>
  <c r="AB26" i="1"/>
  <c r="K12" i="5" s="1"/>
  <c r="AB27" i="1"/>
  <c r="K21" i="5" s="1"/>
  <c r="AB28" i="1"/>
  <c r="K13" i="3" s="1"/>
  <c r="AB7" i="1"/>
  <c r="K16" i="3" s="1"/>
  <c r="AA8" i="1"/>
  <c r="AA9" i="1"/>
  <c r="AA10" i="1"/>
  <c r="AA11" i="1"/>
  <c r="AA12" i="1"/>
  <c r="AC12" i="1" s="1"/>
  <c r="AA13" i="1"/>
  <c r="AC13" i="1" s="1"/>
  <c r="AA14" i="1"/>
  <c r="AA15" i="1"/>
  <c r="AA16" i="1"/>
  <c r="AA17" i="1"/>
  <c r="AA18" i="1"/>
  <c r="AC18" i="1" s="1"/>
  <c r="AA19" i="1"/>
  <c r="AA20" i="1"/>
  <c r="AA21" i="1"/>
  <c r="AA22" i="1"/>
  <c r="AA23" i="1"/>
  <c r="AC23" i="1" s="1"/>
  <c r="AA24" i="1"/>
  <c r="AC24" i="1" s="1"/>
  <c r="AA25" i="1"/>
  <c r="AC25" i="1" s="1"/>
  <c r="AA26" i="1"/>
  <c r="AA27" i="1"/>
  <c r="AA28" i="1"/>
  <c r="AA7" i="1"/>
  <c r="X14" i="1"/>
  <c r="Z14" i="1" s="1"/>
  <c r="X20" i="1"/>
  <c r="Z20" i="1" s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7" i="1"/>
  <c r="X8" i="1"/>
  <c r="Z8" i="1" s="1"/>
  <c r="X9" i="1"/>
  <c r="Z9" i="1" s="1"/>
  <c r="X10" i="1"/>
  <c r="Z10" i="1" s="1"/>
  <c r="X11" i="1"/>
  <c r="Z11" i="1" s="1"/>
  <c r="X12" i="1"/>
  <c r="Z12" i="1" s="1"/>
  <c r="X13" i="1"/>
  <c r="Z13" i="1" s="1"/>
  <c r="X15" i="1"/>
  <c r="Z15" i="1" s="1"/>
  <c r="X16" i="1"/>
  <c r="Z16" i="1" s="1"/>
  <c r="X17" i="1"/>
  <c r="Z17" i="1" s="1"/>
  <c r="X18" i="1"/>
  <c r="Z18" i="1" s="1"/>
  <c r="X19" i="1"/>
  <c r="Z19" i="1" s="1"/>
  <c r="X21" i="1"/>
  <c r="Z21" i="1" s="1"/>
  <c r="X22" i="1"/>
  <c r="Z22" i="1" s="1"/>
  <c r="X23" i="1"/>
  <c r="Z23" i="1" s="1"/>
  <c r="X24" i="1"/>
  <c r="Z24" i="1" s="1"/>
  <c r="X25" i="1"/>
  <c r="Z25" i="1" s="1"/>
  <c r="X26" i="1"/>
  <c r="Z26" i="1" s="1"/>
  <c r="X27" i="1"/>
  <c r="Z27" i="1" s="1"/>
  <c r="X28" i="1"/>
  <c r="Z28" i="1" s="1"/>
  <c r="X7" i="1"/>
  <c r="Z7" i="1" s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7" i="1"/>
  <c r="U8" i="1"/>
  <c r="W8" i="1" s="1"/>
  <c r="U9" i="1"/>
  <c r="W9" i="1" s="1"/>
  <c r="U10" i="1"/>
  <c r="W10" i="1" s="1"/>
  <c r="U11" i="1"/>
  <c r="W11" i="1" s="1"/>
  <c r="U13" i="1"/>
  <c r="W13" i="1" s="1"/>
  <c r="U14" i="1"/>
  <c r="W14" i="1" s="1"/>
  <c r="U15" i="1"/>
  <c r="W15" i="1" s="1"/>
  <c r="U16" i="1"/>
  <c r="W16" i="1" s="1"/>
  <c r="U17" i="1"/>
  <c r="W17" i="1" s="1"/>
  <c r="U19" i="1"/>
  <c r="W19" i="1" s="1"/>
  <c r="U20" i="1"/>
  <c r="W20" i="1" s="1"/>
  <c r="U22" i="1"/>
  <c r="W22" i="1" s="1"/>
  <c r="U23" i="1"/>
  <c r="W23" i="1" s="1"/>
  <c r="U24" i="1"/>
  <c r="W24" i="1" s="1"/>
  <c r="U25" i="1"/>
  <c r="W25" i="1" s="1"/>
  <c r="U26" i="1"/>
  <c r="W26" i="1" s="1"/>
  <c r="U27" i="1"/>
  <c r="W27" i="1" s="1"/>
  <c r="U28" i="1"/>
  <c r="W28" i="1" s="1"/>
  <c r="U7" i="1"/>
  <c r="W7" i="1" s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7" i="1"/>
  <c r="R8" i="1"/>
  <c r="R9" i="1"/>
  <c r="T9" i="1" s="1"/>
  <c r="R10" i="1"/>
  <c r="T10" i="1" s="1"/>
  <c r="R11" i="1"/>
  <c r="R13" i="1"/>
  <c r="R14" i="1"/>
  <c r="R15" i="1"/>
  <c r="T15" i="1" s="1"/>
  <c r="R16" i="1"/>
  <c r="T16" i="1" s="1"/>
  <c r="R17" i="1"/>
  <c r="R19" i="1"/>
  <c r="R20" i="1"/>
  <c r="T20" i="1" s="1"/>
  <c r="R22" i="1"/>
  <c r="T22" i="1" s="1"/>
  <c r="R23" i="1"/>
  <c r="T23" i="1" s="1"/>
  <c r="R24" i="1"/>
  <c r="T24" i="1" s="1"/>
  <c r="R25" i="1"/>
  <c r="T25" i="1" s="1"/>
  <c r="R26" i="1"/>
  <c r="R27" i="1"/>
  <c r="T27" i="1" s="1"/>
  <c r="R28" i="1"/>
  <c r="T28" i="1" s="1"/>
  <c r="R7" i="1"/>
  <c r="T7" i="1" s="1"/>
  <c r="P8" i="1"/>
  <c r="I8" i="3" s="1"/>
  <c r="P9" i="1"/>
  <c r="I9" i="5" s="1"/>
  <c r="P10" i="1"/>
  <c r="P11" i="1"/>
  <c r="P12" i="1"/>
  <c r="I12" i="5" s="1"/>
  <c r="P13" i="1"/>
  <c r="I13" i="5" s="1"/>
  <c r="P14" i="1"/>
  <c r="I14" i="3" s="1"/>
  <c r="P15" i="1"/>
  <c r="P16" i="1"/>
  <c r="P17" i="1"/>
  <c r="P18" i="1"/>
  <c r="I18" i="5" s="1"/>
  <c r="P19" i="1"/>
  <c r="I19" i="5" s="1"/>
  <c r="P20" i="1"/>
  <c r="I20" i="3" s="1"/>
  <c r="P21" i="1"/>
  <c r="I21" i="3" s="1"/>
  <c r="P22" i="1"/>
  <c r="P23" i="1"/>
  <c r="P24" i="1"/>
  <c r="I24" i="5" s="1"/>
  <c r="P25" i="1"/>
  <c r="I25" i="5" s="1"/>
  <c r="P26" i="1"/>
  <c r="I26" i="3" s="1"/>
  <c r="P27" i="1"/>
  <c r="I27" i="5" s="1"/>
  <c r="P28" i="1"/>
  <c r="P7" i="1"/>
  <c r="O8" i="1"/>
  <c r="O9" i="1"/>
  <c r="O10" i="1"/>
  <c r="Q10" i="1" s="1"/>
  <c r="O11" i="1"/>
  <c r="O12" i="1"/>
  <c r="O13" i="1"/>
  <c r="O14" i="1"/>
  <c r="O15" i="1"/>
  <c r="Q15" i="1" s="1"/>
  <c r="O16" i="1"/>
  <c r="Q16" i="1" s="1"/>
  <c r="O17" i="1"/>
  <c r="Q17" i="1" s="1"/>
  <c r="O18" i="1"/>
  <c r="O19" i="1"/>
  <c r="O20" i="1"/>
  <c r="O21" i="1"/>
  <c r="O22" i="1"/>
  <c r="Q22" i="1" s="1"/>
  <c r="O23" i="1"/>
  <c r="Q23" i="1" s="1"/>
  <c r="O24" i="1"/>
  <c r="O25" i="1"/>
  <c r="O26" i="1"/>
  <c r="O27" i="1"/>
  <c r="O28" i="1"/>
  <c r="Q28" i="1" s="1"/>
  <c r="O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7" i="1"/>
  <c r="L8" i="1"/>
  <c r="N8" i="1" s="1"/>
  <c r="L9" i="1"/>
  <c r="N9" i="1" s="1"/>
  <c r="L10" i="1"/>
  <c r="L11" i="1"/>
  <c r="L12" i="1"/>
  <c r="L13" i="1"/>
  <c r="L14" i="1"/>
  <c r="N14" i="1" s="1"/>
  <c r="L15" i="1"/>
  <c r="N15" i="1" s="1"/>
  <c r="L16" i="1"/>
  <c r="L17" i="1"/>
  <c r="L18" i="1"/>
  <c r="L19" i="1"/>
  <c r="L20" i="1"/>
  <c r="N20" i="1" s="1"/>
  <c r="L21" i="1"/>
  <c r="L22" i="1"/>
  <c r="L23" i="1"/>
  <c r="L24" i="1"/>
  <c r="L25" i="1"/>
  <c r="N25" i="1" s="1"/>
  <c r="L26" i="1"/>
  <c r="N26" i="1" s="1"/>
  <c r="L27" i="1"/>
  <c r="N27" i="1" s="1"/>
  <c r="L28" i="1"/>
  <c r="L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7" i="1"/>
  <c r="I7" i="1"/>
  <c r="K7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8" i="1"/>
  <c r="K8" i="1" s="1"/>
  <c r="K22" i="5" l="1"/>
  <c r="N24" i="1"/>
  <c r="Q14" i="1"/>
  <c r="AC22" i="1"/>
  <c r="N23" i="1"/>
  <c r="Q13" i="1"/>
  <c r="AC21" i="1"/>
  <c r="M10" i="5"/>
  <c r="N22" i="1"/>
  <c r="E10" i="2" s="1"/>
  <c r="H10" i="2" s="1"/>
  <c r="Q12" i="1"/>
  <c r="T19" i="1"/>
  <c r="AC20" i="1"/>
  <c r="K11" i="5"/>
  <c r="M11" i="5" s="1"/>
  <c r="N21" i="1"/>
  <c r="D27" i="2" s="1"/>
  <c r="G27" i="2" s="1"/>
  <c r="I27" i="2" s="1"/>
  <c r="Q7" i="1"/>
  <c r="Q11" i="1"/>
  <c r="T17" i="1"/>
  <c r="AC19" i="1"/>
  <c r="I13" i="3"/>
  <c r="K16" i="5"/>
  <c r="M16" i="5" s="1"/>
  <c r="N16" i="5" s="1"/>
  <c r="N19" i="1"/>
  <c r="D13" i="2" s="1"/>
  <c r="G13" i="2" s="1"/>
  <c r="I13" i="2" s="1"/>
  <c r="Q27" i="1"/>
  <c r="Q9" i="1"/>
  <c r="D20" i="2" s="1"/>
  <c r="G20" i="2" s="1"/>
  <c r="I20" i="2" s="1"/>
  <c r="AC17" i="1"/>
  <c r="N18" i="1"/>
  <c r="Q26" i="1"/>
  <c r="Q8" i="1"/>
  <c r="T14" i="1"/>
  <c r="D7" i="2" s="1"/>
  <c r="G7" i="2" s="1"/>
  <c r="I7" i="2" s="1"/>
  <c r="AC16" i="1"/>
  <c r="I9" i="3"/>
  <c r="N17" i="1"/>
  <c r="E19" i="2" s="1"/>
  <c r="H19" i="2" s="1"/>
  <c r="Q25" i="1"/>
  <c r="T13" i="1"/>
  <c r="AC15" i="1"/>
  <c r="I27" i="3"/>
  <c r="M27" i="3" s="1"/>
  <c r="N27" i="3" s="1"/>
  <c r="K9" i="3"/>
  <c r="N16" i="1"/>
  <c r="Q24" i="1"/>
  <c r="T11" i="1"/>
  <c r="AC14" i="1"/>
  <c r="K8" i="3"/>
  <c r="M8" i="3" s="1"/>
  <c r="N8" i="3" s="1"/>
  <c r="K13" i="5"/>
  <c r="K19" i="5"/>
  <c r="N12" i="1"/>
  <c r="D28" i="2" s="1"/>
  <c r="G28" i="2" s="1"/>
  <c r="I28" i="2" s="1"/>
  <c r="Q20" i="1"/>
  <c r="D16" i="2" s="1"/>
  <c r="G16" i="2" s="1"/>
  <c r="I16" i="2" s="1"/>
  <c r="AC28" i="1"/>
  <c r="AC10" i="1"/>
  <c r="I21" i="5"/>
  <c r="N7" i="1"/>
  <c r="N11" i="1"/>
  <c r="E21" i="2" s="1"/>
  <c r="H21" i="2" s="1"/>
  <c r="Q19" i="1"/>
  <c r="N13" i="1"/>
  <c r="D23" i="2" s="1"/>
  <c r="G23" i="2" s="1"/>
  <c r="I23" i="2" s="1"/>
  <c r="Q21" i="1"/>
  <c r="T8" i="1"/>
  <c r="AC7" i="1"/>
  <c r="AC11" i="1"/>
  <c r="AC27" i="1"/>
  <c r="AC9" i="1"/>
  <c r="N28" i="1"/>
  <c r="E25" i="2" s="1"/>
  <c r="H25" i="2" s="1"/>
  <c r="N10" i="1"/>
  <c r="Q18" i="1"/>
  <c r="T26" i="1"/>
  <c r="AC26" i="1"/>
  <c r="AC8" i="1"/>
  <c r="M23" i="5"/>
  <c r="N23" i="5" s="1"/>
  <c r="M7" i="5"/>
  <c r="D23" i="6" s="1"/>
  <c r="I23" i="6" s="1"/>
  <c r="M9" i="5"/>
  <c r="N9" i="5" s="1"/>
  <c r="N15" i="5"/>
  <c r="M14" i="5"/>
  <c r="M28" i="5"/>
  <c r="N28" i="5" s="1"/>
  <c r="N10" i="5"/>
  <c r="M9" i="3"/>
  <c r="N9" i="3" s="1"/>
  <c r="M12" i="5"/>
  <c r="N12" i="5" s="1"/>
  <c r="M15" i="3"/>
  <c r="N15" i="3" s="1"/>
  <c r="M19" i="5"/>
  <c r="M11" i="3"/>
  <c r="N11" i="3" s="1"/>
  <c r="M21" i="5"/>
  <c r="M27" i="5"/>
  <c r="N27" i="5" s="1"/>
  <c r="M10" i="3"/>
  <c r="N10" i="3" s="1"/>
  <c r="M7" i="3"/>
  <c r="N7" i="3" s="1"/>
  <c r="M28" i="3"/>
  <c r="N28" i="3" s="1"/>
  <c r="M17" i="5"/>
  <c r="N17" i="5" s="1"/>
  <c r="M24" i="5"/>
  <c r="M22" i="5"/>
  <c r="M18" i="5"/>
  <c r="M20" i="5"/>
  <c r="M8" i="5"/>
  <c r="N8" i="5" s="1"/>
  <c r="N14" i="5"/>
  <c r="M13" i="5"/>
  <c r="N13" i="5" s="1"/>
  <c r="M25" i="5"/>
  <c r="M25" i="3"/>
  <c r="N25" i="3" s="1"/>
  <c r="M21" i="3"/>
  <c r="N21" i="3" s="1"/>
  <c r="M24" i="3"/>
  <c r="N24" i="3" s="1"/>
  <c r="M13" i="3"/>
  <c r="N13" i="3" s="1"/>
  <c r="M12" i="3"/>
  <c r="N12" i="3" s="1"/>
  <c r="M18" i="3"/>
  <c r="N18" i="3" s="1"/>
  <c r="M23" i="3"/>
  <c r="N23" i="3" s="1"/>
  <c r="M26" i="5"/>
  <c r="N26" i="5" s="1"/>
  <c r="N17" i="3"/>
  <c r="M20" i="3"/>
  <c r="N20" i="3" s="1"/>
  <c r="M26" i="3"/>
  <c r="N26" i="3" s="1"/>
  <c r="M19" i="3"/>
  <c r="N19" i="3" s="1"/>
  <c r="M22" i="3"/>
  <c r="N22" i="3" s="1"/>
  <c r="M14" i="3"/>
  <c r="N14" i="3" s="1"/>
  <c r="M16" i="3"/>
  <c r="N16" i="3" s="1"/>
  <c r="E20" i="2"/>
  <c r="H20" i="2" s="1"/>
  <c r="E15" i="2"/>
  <c r="H15" i="2" s="1"/>
  <c r="E14" i="2"/>
  <c r="H14" i="2" s="1"/>
  <c r="E11" i="2"/>
  <c r="H11" i="2" s="1"/>
  <c r="E27" i="2"/>
  <c r="H27" i="2" s="1"/>
  <c r="E22" i="2"/>
  <c r="H22" i="2" s="1"/>
  <c r="E9" i="2"/>
  <c r="H9" i="2" s="1"/>
  <c r="E7" i="2"/>
  <c r="H7" i="2" s="1"/>
  <c r="E16" i="2"/>
  <c r="H16" i="2" s="1"/>
  <c r="E23" i="2"/>
  <c r="H23" i="2" s="1"/>
  <c r="D15" i="2"/>
  <c r="G15" i="2" s="1"/>
  <c r="I15" i="2" s="1"/>
  <c r="E8" i="2"/>
  <c r="H8" i="2" s="1"/>
  <c r="D10" i="2"/>
  <c r="G10" i="2" s="1"/>
  <c r="I10" i="2" s="1"/>
  <c r="E12" i="2"/>
  <c r="H12" i="2" s="1"/>
  <c r="D17" i="2"/>
  <c r="G17" i="2" s="1"/>
  <c r="I17" i="2" s="1"/>
  <c r="D14" i="2"/>
  <c r="G14" i="2" s="1"/>
  <c r="I14" i="2" s="1"/>
  <c r="E13" i="2"/>
  <c r="H13" i="2" s="1"/>
  <c r="E17" i="2"/>
  <c r="H17" i="2" s="1"/>
  <c r="E18" i="2"/>
  <c r="H18" i="2" s="1"/>
  <c r="D24" i="2"/>
  <c r="G24" i="2" s="1"/>
  <c r="I24" i="2" s="1"/>
  <c r="D26" i="2"/>
  <c r="G26" i="2" s="1"/>
  <c r="I26" i="2" s="1"/>
  <c r="D21" i="2"/>
  <c r="G21" i="2" s="1"/>
  <c r="I21" i="2" s="1"/>
  <c r="D18" i="2"/>
  <c r="G18" i="2" s="1"/>
  <c r="I18" i="2" s="1"/>
  <c r="D9" i="2"/>
  <c r="G9" i="2" s="1"/>
  <c r="I9" i="2" s="1"/>
  <c r="D8" i="2"/>
  <c r="G8" i="2" s="1"/>
  <c r="I8" i="2" s="1"/>
  <c r="D12" i="2"/>
  <c r="G12" i="2" s="1"/>
  <c r="I12" i="2" s="1"/>
  <c r="D11" i="2"/>
  <c r="G11" i="2" s="1"/>
  <c r="I11" i="2" s="1"/>
  <c r="E24" i="2"/>
  <c r="H24" i="2" s="1"/>
  <c r="D22" i="2"/>
  <c r="G22" i="2" s="1"/>
  <c r="I22" i="2" s="1"/>
  <c r="E26" i="2"/>
  <c r="H26" i="2" s="1"/>
  <c r="N7" i="5" l="1"/>
  <c r="D17" i="6"/>
  <c r="I17" i="6" s="1"/>
  <c r="N11" i="5"/>
  <c r="D25" i="2"/>
  <c r="G25" i="2" s="1"/>
  <c r="I25" i="2" s="1"/>
  <c r="E28" i="2"/>
  <c r="H28" i="2" s="1"/>
  <c r="D19" i="2"/>
  <c r="G19" i="2" s="1"/>
  <c r="I19" i="2" s="1"/>
  <c r="D10" i="6"/>
  <c r="I10" i="6" s="1"/>
  <c r="D22" i="6"/>
  <c r="I22" i="6" s="1"/>
  <c r="D9" i="6"/>
  <c r="I9" i="6" s="1"/>
  <c r="D12" i="6"/>
  <c r="I12" i="6" s="1"/>
  <c r="D7" i="6"/>
  <c r="I7" i="6" s="1"/>
  <c r="D18" i="6"/>
  <c r="I18" i="6" s="1"/>
  <c r="D24" i="6"/>
  <c r="I24" i="6" s="1"/>
  <c r="D19" i="6"/>
  <c r="I19" i="6" s="1"/>
  <c r="D21" i="6"/>
  <c r="I21" i="6" s="1"/>
  <c r="N19" i="5"/>
  <c r="D11" i="6"/>
  <c r="I11" i="6" s="1"/>
  <c r="N25" i="5"/>
  <c r="D14" i="6"/>
  <c r="I14" i="6" s="1"/>
  <c r="D28" i="6"/>
  <c r="I28" i="6" s="1"/>
  <c r="N20" i="5"/>
  <c r="D16" i="6"/>
  <c r="I16" i="6" s="1"/>
  <c r="D20" i="6"/>
  <c r="I20" i="6" s="1"/>
  <c r="N22" i="5"/>
  <c r="D13" i="6"/>
  <c r="I13" i="6" s="1"/>
  <c r="D27" i="6"/>
  <c r="I27" i="6" s="1"/>
  <c r="N21" i="5"/>
  <c r="D26" i="6"/>
  <c r="I26" i="6" s="1"/>
  <c r="D8" i="6"/>
  <c r="I8" i="6" s="1"/>
  <c r="N24" i="5"/>
  <c r="D25" i="6"/>
  <c r="I25" i="6" s="1"/>
  <c r="D15" i="6"/>
  <c r="I15" i="6" s="1"/>
  <c r="J25" i="2"/>
  <c r="J23" i="2"/>
  <c r="J19" i="2"/>
  <c r="J8" i="2"/>
  <c r="J16" i="2"/>
  <c r="J28" i="2"/>
  <c r="J26" i="2"/>
  <c r="J18" i="2"/>
  <c r="J7" i="2"/>
  <c r="J9" i="2"/>
  <c r="J27" i="2"/>
  <c r="J17" i="2"/>
  <c r="J21" i="2"/>
  <c r="J24" i="2"/>
  <c r="J22" i="2"/>
  <c r="J11" i="2"/>
  <c r="J14" i="2"/>
  <c r="J13" i="2"/>
  <c r="J10" i="2"/>
  <c r="J15" i="2"/>
  <c r="J12" i="2"/>
  <c r="J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 Vankayala</author>
  </authors>
  <commentList>
    <comment ref="D5" authorId="0" shapeId="0" xr:uid="{98F1A8DF-070C-4F37-A1A9-44E7C9AF8245}">
      <text>
        <r>
          <rPr>
            <b/>
            <sz val="9"/>
            <color indexed="81"/>
            <rFont val="Tahoma"/>
            <family val="2"/>
          </rPr>
          <t>[33]</t>
        </r>
      </text>
    </comment>
    <comment ref="E5" authorId="0" shapeId="0" xr:uid="{AB9BEEE1-E010-42BE-8BF3-DE7A89C67735}">
      <text>
        <r>
          <rPr>
            <b/>
            <sz val="9"/>
            <color indexed="81"/>
            <rFont val="Tahoma"/>
            <family val="2"/>
          </rPr>
          <t>[34]</t>
        </r>
      </text>
    </comment>
    <comment ref="F5" authorId="0" shapeId="0" xr:uid="{5D55E6C6-B128-4B8C-9D47-6DB144B17B55}">
      <text>
        <r>
          <rPr>
            <b/>
            <sz val="9"/>
            <color indexed="81"/>
            <rFont val="Tahoma"/>
            <family val="2"/>
          </rPr>
          <t>[7]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" authorId="0" shapeId="0" xr:uid="{60E970DB-0B7E-4789-A513-E2AEFD8143C8}">
      <text>
        <r>
          <rPr>
            <b/>
            <sz val="9"/>
            <color indexed="81"/>
            <rFont val="Tahoma"/>
            <family val="2"/>
          </rPr>
          <t>[35]</t>
        </r>
      </text>
    </comment>
    <comment ref="H5" authorId="0" shapeId="0" xr:uid="{C38930C2-73B1-48B1-961A-A3751133124E}">
      <text>
        <r>
          <rPr>
            <b/>
            <sz val="9"/>
            <color indexed="81"/>
            <rFont val="Tahoma"/>
            <family val="2"/>
          </rPr>
          <t>[34]</t>
        </r>
      </text>
    </comment>
    <comment ref="D6" authorId="0" shapeId="0" xr:uid="{F34F3B60-99B0-44F2-8037-1ECCC58BA7BA}">
      <text>
        <r>
          <rPr>
            <b/>
            <sz val="9"/>
            <color indexed="81"/>
            <rFont val="Tahoma"/>
            <family val="2"/>
          </rPr>
          <t>[8]</t>
        </r>
      </text>
    </comment>
    <comment ref="E6" authorId="0" shapeId="0" xr:uid="{6D255C84-95FA-4D18-969B-6D736A7F5F1B}">
      <text>
        <r>
          <rPr>
            <b/>
            <sz val="9"/>
            <color indexed="81"/>
            <rFont val="Tahoma"/>
            <family val="2"/>
          </rPr>
          <t>[8]</t>
        </r>
      </text>
    </comment>
    <comment ref="F6" authorId="0" shapeId="0" xr:uid="{BC5F63A1-AF6C-4584-9A62-4E14C40A966F}">
      <text>
        <r>
          <rPr>
            <b/>
            <sz val="9"/>
            <color indexed="81"/>
            <rFont val="Tahoma"/>
            <family val="2"/>
          </rPr>
          <t>[8]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" authorId="0" shapeId="0" xr:uid="{344DD52B-261D-4FAC-82F6-25021D3111B8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H6" authorId="0" shapeId="0" xr:uid="{5C78067A-63D0-49BC-89D1-348608165324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AD6" authorId="0" shapeId="0" xr:uid="{F742E571-3A35-4A4C-BF16-7523F7C3D9B6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AE6" authorId="0" shapeId="0" xr:uid="{147E3A3A-E3B7-4F9C-96E8-872A51BECDFA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AF6" authorId="0" shapeId="0" xr:uid="{F6C3F686-78C6-4472-9CBD-CF84AB933030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AG6" authorId="0" shapeId="0" xr:uid="{51B735F3-DC15-4E77-8011-519802C35F0C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AH6" authorId="0" shapeId="0" xr:uid="{54F3DC97-9EF5-42F6-92DF-FCA5EF2CD977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AI6" authorId="0" shapeId="0" xr:uid="{0D6D2F39-C0AD-4FC0-87A1-707125AAA7C0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C7" authorId="0" shapeId="0" xr:uid="{3762B25C-2012-42AE-A376-89DAFCE893D2}">
      <text>
        <r>
          <rPr>
            <b/>
            <sz val="9"/>
            <color indexed="81"/>
            <rFont val="Tahoma"/>
            <family val="2"/>
          </rPr>
          <t>[11]</t>
        </r>
      </text>
    </comment>
    <comment ref="C8" authorId="0" shapeId="0" xr:uid="{E79C23D9-9EF9-4477-B82E-B4A8DFE9F6E7}">
      <text>
        <r>
          <rPr>
            <b/>
            <sz val="9"/>
            <color indexed="81"/>
            <rFont val="Tahoma"/>
            <family val="2"/>
          </rPr>
          <t>[12]</t>
        </r>
      </text>
    </comment>
    <comment ref="C9" authorId="0" shapeId="0" xr:uid="{D7E7098B-9CF7-49AB-9F3C-5FFF8E1E1941}">
      <text>
        <r>
          <rPr>
            <b/>
            <sz val="9"/>
            <color indexed="81"/>
            <rFont val="Tahoma"/>
            <family val="2"/>
          </rPr>
          <t>[13]</t>
        </r>
      </text>
    </comment>
    <comment ref="C10" authorId="0" shapeId="0" xr:uid="{7C8BE8A3-F394-431D-9EF7-2CC3965045D8}">
      <text>
        <r>
          <rPr>
            <b/>
            <sz val="9"/>
            <color indexed="81"/>
            <rFont val="Tahoma"/>
            <family val="2"/>
          </rPr>
          <t>[14]</t>
        </r>
      </text>
    </comment>
    <comment ref="C11" authorId="0" shapeId="0" xr:uid="{BD474175-F7FD-4E3C-B07A-AEAFB2C21F58}">
      <text>
        <r>
          <rPr>
            <b/>
            <sz val="9"/>
            <color indexed="81"/>
            <rFont val="Tahoma"/>
            <family val="2"/>
          </rPr>
          <t>[15]</t>
        </r>
      </text>
    </comment>
    <comment ref="C12" authorId="0" shapeId="0" xr:uid="{38E0DB19-6C1A-470F-86D4-E62BCAD5F8BB}">
      <text>
        <r>
          <rPr>
            <b/>
            <sz val="9"/>
            <color indexed="81"/>
            <rFont val="Tahoma"/>
            <family val="2"/>
          </rPr>
          <t>[16]</t>
        </r>
      </text>
    </comment>
    <comment ref="C13" authorId="0" shapeId="0" xr:uid="{FDCA3802-4160-4BFC-8FCB-67F28EDB6FC7}">
      <text>
        <r>
          <rPr>
            <b/>
            <sz val="9"/>
            <color indexed="81"/>
            <rFont val="Tahoma"/>
            <family val="2"/>
          </rPr>
          <t>[17]</t>
        </r>
      </text>
    </comment>
    <comment ref="C14" authorId="0" shapeId="0" xr:uid="{F98D5995-8EC3-45C5-8BCF-71DE4B77A639}">
      <text>
        <r>
          <rPr>
            <b/>
            <sz val="9"/>
            <color indexed="81"/>
            <rFont val="Tahoma"/>
            <family val="2"/>
          </rPr>
          <t>[18]</t>
        </r>
      </text>
    </comment>
    <comment ref="C15" authorId="0" shapeId="0" xr:uid="{B8C0D391-702E-49D3-85B7-84B3C518A463}">
      <text>
        <r>
          <rPr>
            <b/>
            <sz val="9"/>
            <color indexed="81"/>
            <rFont val="Tahoma"/>
            <family val="2"/>
          </rPr>
          <t>[19]</t>
        </r>
      </text>
    </comment>
    <comment ref="C16" authorId="0" shapeId="0" xr:uid="{1FC4FA5A-1343-46CC-B16C-B4906F33EA64}">
      <text>
        <r>
          <rPr>
            <b/>
            <sz val="9"/>
            <color indexed="81"/>
            <rFont val="Tahoma"/>
            <family val="2"/>
          </rPr>
          <t>[20]</t>
        </r>
      </text>
    </comment>
    <comment ref="C17" authorId="0" shapeId="0" xr:uid="{AC4046A6-7D08-4333-96C1-45B467C73442}">
      <text>
        <r>
          <rPr>
            <b/>
            <sz val="9"/>
            <color indexed="81"/>
            <rFont val="Tahoma"/>
            <family val="2"/>
          </rPr>
          <t>[21]</t>
        </r>
      </text>
    </comment>
    <comment ref="C18" authorId="0" shapeId="0" xr:uid="{909F262E-AEC5-4F8A-8562-012A94FB5F78}">
      <text>
        <r>
          <rPr>
            <b/>
            <sz val="9"/>
            <color indexed="81"/>
            <rFont val="Tahoma"/>
            <family val="2"/>
          </rPr>
          <t>[22]</t>
        </r>
      </text>
    </comment>
    <comment ref="C19" authorId="0" shapeId="0" xr:uid="{7F11B713-600F-4C04-B186-336DD67E25B3}">
      <text>
        <r>
          <rPr>
            <b/>
            <sz val="9"/>
            <color indexed="81"/>
            <rFont val="Tahoma"/>
            <family val="2"/>
          </rPr>
          <t>[23]</t>
        </r>
      </text>
    </comment>
    <comment ref="C20" authorId="0" shapeId="0" xr:uid="{A2BA51C4-49E0-4473-A958-D23605B0BDA5}">
      <text>
        <r>
          <rPr>
            <b/>
            <sz val="9"/>
            <color indexed="81"/>
            <rFont val="Tahoma"/>
            <family val="2"/>
          </rPr>
          <t>[24]</t>
        </r>
      </text>
    </comment>
    <comment ref="C21" authorId="0" shapeId="0" xr:uid="{839470FC-1C21-4459-A306-0F9095703978}">
      <text>
        <r>
          <rPr>
            <b/>
            <sz val="9"/>
            <color indexed="81"/>
            <rFont val="Tahoma"/>
            <family val="2"/>
          </rPr>
          <t>[25]</t>
        </r>
      </text>
    </comment>
    <comment ref="C22" authorId="0" shapeId="0" xr:uid="{212E731A-2F41-4D20-87F8-37A50E146DFB}">
      <text>
        <r>
          <rPr>
            <b/>
            <sz val="9"/>
            <color indexed="81"/>
            <rFont val="Tahoma"/>
            <family val="2"/>
          </rPr>
          <t>[26]</t>
        </r>
      </text>
    </comment>
    <comment ref="C23" authorId="0" shapeId="0" xr:uid="{14781195-1FF8-4FD3-BEE6-9E9C5EBED09B}">
      <text>
        <r>
          <rPr>
            <b/>
            <sz val="9"/>
            <color indexed="81"/>
            <rFont val="Tahoma"/>
            <family val="2"/>
          </rPr>
          <t>[27]</t>
        </r>
      </text>
    </comment>
    <comment ref="C24" authorId="0" shapeId="0" xr:uid="{C6990D98-4D1E-453C-92F1-EEC67F5146D8}">
      <text>
        <r>
          <rPr>
            <b/>
            <sz val="9"/>
            <color indexed="81"/>
            <rFont val="Tahoma"/>
            <family val="2"/>
          </rPr>
          <t>[28]</t>
        </r>
      </text>
    </comment>
    <comment ref="C25" authorId="0" shapeId="0" xr:uid="{CC6DED0F-3C98-439F-9202-A5AB8E06EA7B}">
      <text>
        <r>
          <rPr>
            <b/>
            <sz val="9"/>
            <color indexed="81"/>
            <rFont val="Tahoma"/>
            <family val="2"/>
          </rPr>
          <t>[29]</t>
        </r>
      </text>
    </comment>
    <comment ref="C26" authorId="0" shapeId="0" xr:uid="{C168AB9A-338D-41E8-A643-9F8513C87DB1}">
      <text>
        <r>
          <rPr>
            <b/>
            <sz val="9"/>
            <color indexed="81"/>
            <rFont val="Tahoma"/>
            <family val="2"/>
          </rPr>
          <t>[30]</t>
        </r>
      </text>
    </comment>
    <comment ref="C27" authorId="0" shapeId="0" xr:uid="{6B02B062-5623-4060-BDE4-C033E7B85B27}">
      <text>
        <r>
          <rPr>
            <b/>
            <sz val="9"/>
            <color indexed="81"/>
            <rFont val="Tahoma"/>
            <family val="2"/>
          </rPr>
          <t>[31]</t>
        </r>
      </text>
    </comment>
    <comment ref="C28" authorId="0" shapeId="0" xr:uid="{F2C8330F-F036-445A-9A83-5749844DB622}">
      <text>
        <r>
          <rPr>
            <b/>
            <sz val="9"/>
            <color indexed="81"/>
            <rFont val="Tahoma"/>
            <family val="2"/>
          </rPr>
          <t>[32]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 Vankayala</author>
  </authors>
  <commentList>
    <comment ref="D6" authorId="0" shapeId="0" xr:uid="{42F8956A-5C32-48A0-97D8-974BB066E7A6}">
      <text>
        <r>
          <rPr>
            <b/>
            <sz val="9"/>
            <color indexed="81"/>
            <rFont val="Tahoma"/>
            <family val="2"/>
          </rPr>
          <t>[8]</t>
        </r>
      </text>
    </comment>
    <comment ref="E6" authorId="0" shapeId="0" xr:uid="{DAB24D47-5077-4EBC-8DEC-C3DC9656BFDB}">
      <text>
        <r>
          <rPr>
            <b/>
            <sz val="9"/>
            <color indexed="81"/>
            <rFont val="Tahoma"/>
            <family val="2"/>
          </rPr>
          <t>[8]</t>
        </r>
      </text>
    </comment>
    <comment ref="F6" authorId="0" shapeId="0" xr:uid="{63AB1A11-2A0F-4AE6-82E6-9BA501C7EF9C}">
      <text>
        <r>
          <rPr>
            <b/>
            <sz val="9"/>
            <color indexed="81"/>
            <rFont val="Tahoma"/>
            <family val="2"/>
          </rPr>
          <t>[8]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" authorId="0" shapeId="0" xr:uid="{45837EB9-86E3-4636-B428-63C7AB88E0C1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H6" authorId="0" shapeId="0" xr:uid="{39DC4682-848D-4980-BBBD-E35814E1419C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M6" authorId="0" shapeId="0" xr:uid="{240A7683-778D-490B-B00C-893AEFBC786C}">
      <text>
        <r>
          <rPr>
            <b/>
            <sz val="9"/>
            <color indexed="81"/>
            <rFont val="Tahoma"/>
            <family val="2"/>
          </rPr>
          <t>Krishna Vankayala:</t>
        </r>
        <r>
          <rPr>
            <sz val="9"/>
            <color indexed="81"/>
            <rFont val="Tahoma"/>
            <family val="2"/>
          </rPr>
          <t xml:space="preserve">
Explain methodology for trying to calculate this</t>
        </r>
      </text>
    </comment>
    <comment ref="O6" authorId="0" shapeId="0" xr:uid="{97926F9A-DD4A-4B42-B74E-62E14A5CE990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P6" authorId="0" shapeId="0" xr:uid="{1271941C-4029-4823-A2A5-B58D76FD86BF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Q6" authorId="0" shapeId="0" xr:uid="{2B81F687-9EFF-4CEE-84FD-63353AA33AA2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R6" authorId="0" shapeId="0" xr:uid="{FF3657BB-2315-4036-B537-C3F7D2AE987B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S6" authorId="0" shapeId="0" xr:uid="{397B78E4-FE70-47EF-9FD7-6D7CE4D82E50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T6" authorId="0" shapeId="0" xr:uid="{A564A3A5-A9F2-4129-8150-5A4424FA85FD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C7" authorId="0" shapeId="0" xr:uid="{41547E47-CCEB-49A9-9B2A-5AE5A264D103}">
      <text>
        <r>
          <rPr>
            <b/>
            <sz val="9"/>
            <color indexed="81"/>
            <rFont val="Tahoma"/>
            <family val="2"/>
          </rPr>
          <t>[11]</t>
        </r>
      </text>
    </comment>
    <comment ref="C8" authorId="0" shapeId="0" xr:uid="{389A21CA-2AC4-4A93-A5CA-E13353C0FBBF}">
      <text>
        <r>
          <rPr>
            <b/>
            <sz val="9"/>
            <color indexed="81"/>
            <rFont val="Tahoma"/>
            <family val="2"/>
          </rPr>
          <t>[12]</t>
        </r>
      </text>
    </comment>
    <comment ref="C9" authorId="0" shapeId="0" xr:uid="{CC5AA5E3-DA52-4EAA-A4E4-3011F8A4C2DC}">
      <text>
        <r>
          <rPr>
            <b/>
            <sz val="9"/>
            <color indexed="81"/>
            <rFont val="Tahoma"/>
            <family val="2"/>
          </rPr>
          <t>[13]</t>
        </r>
      </text>
    </comment>
    <comment ref="C10" authorId="0" shapeId="0" xr:uid="{BB520B92-B252-4C40-93C7-4E4ADB4B16C5}">
      <text>
        <r>
          <rPr>
            <b/>
            <sz val="9"/>
            <color indexed="81"/>
            <rFont val="Tahoma"/>
            <family val="2"/>
          </rPr>
          <t>[14]</t>
        </r>
      </text>
    </comment>
    <comment ref="C11" authorId="0" shapeId="0" xr:uid="{E93FCC59-56A5-4702-AFBC-37FE53A0744C}">
      <text>
        <r>
          <rPr>
            <b/>
            <sz val="9"/>
            <color indexed="81"/>
            <rFont val="Tahoma"/>
            <family val="2"/>
          </rPr>
          <t>[15]</t>
        </r>
      </text>
    </comment>
    <comment ref="C12" authorId="0" shapeId="0" xr:uid="{56B4A68B-1E1B-4105-B086-84F24107070B}">
      <text>
        <r>
          <rPr>
            <b/>
            <sz val="9"/>
            <color indexed="81"/>
            <rFont val="Tahoma"/>
            <family val="2"/>
          </rPr>
          <t>[16]</t>
        </r>
      </text>
    </comment>
    <comment ref="C13" authorId="0" shapeId="0" xr:uid="{9C2D59E5-B056-4105-8669-7620D4F9BA10}">
      <text>
        <r>
          <rPr>
            <b/>
            <sz val="9"/>
            <color indexed="81"/>
            <rFont val="Tahoma"/>
            <family val="2"/>
          </rPr>
          <t>[17]</t>
        </r>
      </text>
    </comment>
    <comment ref="C14" authorId="0" shapeId="0" xr:uid="{E9FB9851-9B3B-4366-AAC6-5F2E73D673E8}">
      <text>
        <r>
          <rPr>
            <b/>
            <sz val="9"/>
            <color indexed="81"/>
            <rFont val="Tahoma"/>
            <family val="2"/>
          </rPr>
          <t>[18]</t>
        </r>
      </text>
    </comment>
    <comment ref="C15" authorId="0" shapeId="0" xr:uid="{2A157858-281C-4F00-AB81-BC3A5A0EB703}">
      <text>
        <r>
          <rPr>
            <b/>
            <sz val="9"/>
            <color indexed="81"/>
            <rFont val="Tahoma"/>
            <family val="2"/>
          </rPr>
          <t>[19]</t>
        </r>
      </text>
    </comment>
    <comment ref="C16" authorId="0" shapeId="0" xr:uid="{609A3492-61EA-453B-9671-69F89D516F9A}">
      <text>
        <r>
          <rPr>
            <b/>
            <sz val="9"/>
            <color indexed="81"/>
            <rFont val="Tahoma"/>
            <family val="2"/>
          </rPr>
          <t>[20]</t>
        </r>
      </text>
    </comment>
    <comment ref="C17" authorId="0" shapeId="0" xr:uid="{6126908F-05DC-428E-8C37-23D1A8AFDCB9}">
      <text>
        <r>
          <rPr>
            <b/>
            <sz val="9"/>
            <color indexed="81"/>
            <rFont val="Tahoma"/>
            <family val="2"/>
          </rPr>
          <t>[21]</t>
        </r>
      </text>
    </comment>
    <comment ref="C18" authorId="0" shapeId="0" xr:uid="{769B151E-8DE6-4B8E-8287-A6E6DDB2FADF}">
      <text>
        <r>
          <rPr>
            <b/>
            <sz val="9"/>
            <color indexed="81"/>
            <rFont val="Tahoma"/>
            <family val="2"/>
          </rPr>
          <t>[22]</t>
        </r>
      </text>
    </comment>
    <comment ref="C19" authorId="0" shapeId="0" xr:uid="{60322FC8-5BC9-4C91-8ECB-96655D6C20E4}">
      <text>
        <r>
          <rPr>
            <b/>
            <sz val="9"/>
            <color indexed="81"/>
            <rFont val="Tahoma"/>
            <family val="2"/>
          </rPr>
          <t>[23]</t>
        </r>
      </text>
    </comment>
    <comment ref="C20" authorId="0" shapeId="0" xr:uid="{A8C2C7E2-55EA-41DF-B021-82F67855F818}">
      <text>
        <r>
          <rPr>
            <b/>
            <sz val="9"/>
            <color indexed="81"/>
            <rFont val="Tahoma"/>
            <family val="2"/>
          </rPr>
          <t>[24]</t>
        </r>
      </text>
    </comment>
    <comment ref="C21" authorId="0" shapeId="0" xr:uid="{3A230181-FC4A-4A46-8467-16D13C82B4A3}">
      <text>
        <r>
          <rPr>
            <b/>
            <sz val="9"/>
            <color indexed="81"/>
            <rFont val="Tahoma"/>
            <family val="2"/>
          </rPr>
          <t>[25]</t>
        </r>
      </text>
    </comment>
    <comment ref="C22" authorId="0" shapeId="0" xr:uid="{9F1FBF07-2314-4330-B931-187C2BA34B33}">
      <text>
        <r>
          <rPr>
            <b/>
            <sz val="9"/>
            <color indexed="81"/>
            <rFont val="Tahoma"/>
            <family val="2"/>
          </rPr>
          <t>[26]</t>
        </r>
      </text>
    </comment>
    <comment ref="C23" authorId="0" shapeId="0" xr:uid="{2BC6E7DE-97B0-4902-B13C-EC5B434D00EB}">
      <text>
        <r>
          <rPr>
            <b/>
            <sz val="9"/>
            <color indexed="81"/>
            <rFont val="Tahoma"/>
            <family val="2"/>
          </rPr>
          <t>[27]</t>
        </r>
      </text>
    </comment>
    <comment ref="C24" authorId="0" shapeId="0" xr:uid="{26902F96-FBB3-4DF8-8051-F5E664C42CB8}">
      <text>
        <r>
          <rPr>
            <b/>
            <sz val="9"/>
            <color indexed="81"/>
            <rFont val="Tahoma"/>
            <family val="2"/>
          </rPr>
          <t>[28]</t>
        </r>
      </text>
    </comment>
    <comment ref="C25" authorId="0" shapeId="0" xr:uid="{85AB992B-1EEF-4525-AF20-4B38F7A8FD05}">
      <text>
        <r>
          <rPr>
            <b/>
            <sz val="9"/>
            <color indexed="81"/>
            <rFont val="Tahoma"/>
            <family val="2"/>
          </rPr>
          <t>[29]</t>
        </r>
      </text>
    </comment>
    <comment ref="C26" authorId="0" shapeId="0" xr:uid="{4FE6A704-0D92-4AA5-84F0-3C1596F20920}">
      <text>
        <r>
          <rPr>
            <b/>
            <sz val="9"/>
            <color indexed="81"/>
            <rFont val="Tahoma"/>
            <family val="2"/>
          </rPr>
          <t>[30]</t>
        </r>
      </text>
    </comment>
    <comment ref="C27" authorId="0" shapeId="0" xr:uid="{C57F5874-BB82-4F8A-BAF3-BC94B4FDE63B}">
      <text>
        <r>
          <rPr>
            <b/>
            <sz val="9"/>
            <color indexed="81"/>
            <rFont val="Tahoma"/>
            <family val="2"/>
          </rPr>
          <t>[31]</t>
        </r>
      </text>
    </comment>
    <comment ref="C28" authorId="0" shapeId="0" xr:uid="{DC56F840-AC2E-4D26-9991-6383EE13D1E5}">
      <text>
        <r>
          <rPr>
            <b/>
            <sz val="9"/>
            <color indexed="81"/>
            <rFont val="Tahoma"/>
            <family val="2"/>
          </rPr>
          <t>[32]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 Vankayala</author>
  </authors>
  <commentList>
    <comment ref="D6" authorId="0" shapeId="0" xr:uid="{459159B4-FEF9-49D9-AA30-4D318CF62751}">
      <text>
        <r>
          <rPr>
            <b/>
            <sz val="9"/>
            <color indexed="81"/>
            <rFont val="Tahoma"/>
            <family val="2"/>
          </rPr>
          <t>[8]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" authorId="0" shapeId="0" xr:uid="{CF6E9FA7-DDA9-4981-B39E-D63C4DABA867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C7" authorId="0" shapeId="0" xr:uid="{A8FD0F1C-54EF-4F8A-8EED-C90CB5ABCE32}">
      <text>
        <r>
          <rPr>
            <b/>
            <sz val="9"/>
            <color indexed="81"/>
            <rFont val="Tahoma"/>
            <family val="2"/>
          </rPr>
          <t>[11]</t>
        </r>
      </text>
    </comment>
    <comment ref="N7" authorId="0" shapeId="0" xr:uid="{0F9A9C88-6A71-4C0D-9643-B2FBAF049EA6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C8" authorId="0" shapeId="0" xr:uid="{EB6E7464-B6C6-46D6-A69D-1E28B1C55A09}">
      <text>
        <r>
          <rPr>
            <b/>
            <sz val="9"/>
            <color indexed="81"/>
            <rFont val="Tahoma"/>
            <family val="2"/>
          </rPr>
          <t>[12]</t>
        </r>
      </text>
    </comment>
    <comment ref="C9" authorId="0" shapeId="0" xr:uid="{22D4FAC5-F986-4B82-9EAE-955A9CC85E91}">
      <text>
        <r>
          <rPr>
            <b/>
            <sz val="9"/>
            <color indexed="81"/>
            <rFont val="Tahoma"/>
            <family val="2"/>
          </rPr>
          <t>[13]</t>
        </r>
      </text>
    </comment>
    <comment ref="C10" authorId="0" shapeId="0" xr:uid="{80B3DB7C-44A6-4AFF-92A3-AFCB33F010AB}">
      <text>
        <r>
          <rPr>
            <b/>
            <sz val="9"/>
            <color indexed="81"/>
            <rFont val="Tahoma"/>
            <family val="2"/>
          </rPr>
          <t>[14]</t>
        </r>
      </text>
    </comment>
    <comment ref="N10" authorId="0" shapeId="0" xr:uid="{02BA6B7A-BC69-4CE4-8AF0-38BB070C90C4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C11" authorId="0" shapeId="0" xr:uid="{998F79D0-C0DA-424D-BA1F-68E23264A2C0}">
      <text>
        <r>
          <rPr>
            <b/>
            <sz val="9"/>
            <color indexed="81"/>
            <rFont val="Tahoma"/>
            <family val="2"/>
          </rPr>
          <t>[15]</t>
        </r>
      </text>
    </comment>
    <comment ref="C12" authorId="0" shapeId="0" xr:uid="{D21A835B-1F5D-469E-A133-AB7A4855455A}">
      <text>
        <r>
          <rPr>
            <b/>
            <sz val="9"/>
            <color indexed="81"/>
            <rFont val="Tahoma"/>
            <family val="2"/>
          </rPr>
          <t>[16]</t>
        </r>
      </text>
    </comment>
    <comment ref="C13" authorId="0" shapeId="0" xr:uid="{B570B564-2D76-45CA-AC9A-EBA89FD1CED0}">
      <text>
        <r>
          <rPr>
            <b/>
            <sz val="9"/>
            <color indexed="81"/>
            <rFont val="Tahoma"/>
            <family val="2"/>
          </rPr>
          <t>[17]</t>
        </r>
      </text>
    </comment>
    <comment ref="C14" authorId="0" shapeId="0" xr:uid="{E1B325F9-D6D0-4B04-A81D-5F40FFEA8E1F}">
      <text>
        <r>
          <rPr>
            <b/>
            <sz val="9"/>
            <color indexed="81"/>
            <rFont val="Tahoma"/>
            <family val="2"/>
          </rPr>
          <t>[18]</t>
        </r>
      </text>
    </comment>
    <comment ref="C15" authorId="0" shapeId="0" xr:uid="{E8C86B46-78C8-406F-ACD9-E03B0589AC0D}">
      <text>
        <r>
          <rPr>
            <b/>
            <sz val="9"/>
            <color indexed="81"/>
            <rFont val="Tahoma"/>
            <family val="2"/>
          </rPr>
          <t>[19]</t>
        </r>
      </text>
    </comment>
    <comment ref="C16" authorId="0" shapeId="0" xr:uid="{7950B649-5331-4E0E-B57F-20687A586504}">
      <text>
        <r>
          <rPr>
            <b/>
            <sz val="9"/>
            <color indexed="81"/>
            <rFont val="Tahoma"/>
            <family val="2"/>
          </rPr>
          <t>[20]</t>
        </r>
      </text>
    </comment>
    <comment ref="C17" authorId="0" shapeId="0" xr:uid="{139B65EA-2259-471E-B842-8784FEBCBB70}">
      <text>
        <r>
          <rPr>
            <b/>
            <sz val="9"/>
            <color indexed="81"/>
            <rFont val="Tahoma"/>
            <family val="2"/>
          </rPr>
          <t>[21]</t>
        </r>
      </text>
    </comment>
    <comment ref="N17" authorId="0" shapeId="0" xr:uid="{F83F9C21-7395-40F7-9167-18C664717207}">
      <text>
        <r>
          <rPr>
            <b/>
            <sz val="9"/>
            <color indexed="81"/>
            <rFont val="Tahoma"/>
            <family val="2"/>
          </rPr>
          <t>[10]</t>
        </r>
      </text>
    </comment>
    <comment ref="C18" authorId="0" shapeId="0" xr:uid="{4F8D72AE-DCFD-4766-A5CA-DB72A713BEDF}">
      <text>
        <r>
          <rPr>
            <b/>
            <sz val="9"/>
            <color indexed="81"/>
            <rFont val="Tahoma"/>
            <family val="2"/>
          </rPr>
          <t>[22]</t>
        </r>
      </text>
    </comment>
    <comment ref="C19" authorId="0" shapeId="0" xr:uid="{75D6917A-989C-4F9B-9407-A1C27EE06E71}">
      <text>
        <r>
          <rPr>
            <b/>
            <sz val="9"/>
            <color indexed="81"/>
            <rFont val="Tahoma"/>
            <family val="2"/>
          </rPr>
          <t>[23]</t>
        </r>
      </text>
    </comment>
    <comment ref="C20" authorId="0" shapeId="0" xr:uid="{782F7A75-DF59-49D2-A8E2-375CE177EC18}">
      <text>
        <r>
          <rPr>
            <b/>
            <sz val="9"/>
            <color indexed="81"/>
            <rFont val="Tahoma"/>
            <family val="2"/>
          </rPr>
          <t>[24]</t>
        </r>
      </text>
    </comment>
    <comment ref="C21" authorId="0" shapeId="0" xr:uid="{4869D884-47BA-4274-AC6F-33E4C3203313}">
      <text>
        <r>
          <rPr>
            <b/>
            <sz val="9"/>
            <color indexed="81"/>
            <rFont val="Tahoma"/>
            <family val="2"/>
          </rPr>
          <t>[25]</t>
        </r>
      </text>
    </comment>
    <comment ref="C22" authorId="0" shapeId="0" xr:uid="{1359622B-ADD1-40C3-9C51-4AF0F31C342F}">
      <text>
        <r>
          <rPr>
            <b/>
            <sz val="9"/>
            <color indexed="81"/>
            <rFont val="Tahoma"/>
            <family val="2"/>
          </rPr>
          <t>[26]</t>
        </r>
      </text>
    </comment>
    <comment ref="C23" authorId="0" shapeId="0" xr:uid="{F2BB09DC-60AC-4283-8AC7-83366CCEF7E7}">
      <text>
        <r>
          <rPr>
            <b/>
            <sz val="9"/>
            <color indexed="81"/>
            <rFont val="Tahoma"/>
            <family val="2"/>
          </rPr>
          <t>[27]</t>
        </r>
      </text>
    </comment>
    <comment ref="C24" authorId="0" shapeId="0" xr:uid="{1F287F38-1B72-455C-8AA0-27AA1A985110}">
      <text>
        <r>
          <rPr>
            <b/>
            <sz val="9"/>
            <color indexed="81"/>
            <rFont val="Tahoma"/>
            <family val="2"/>
          </rPr>
          <t>[28]</t>
        </r>
      </text>
    </comment>
    <comment ref="C25" authorId="0" shapeId="0" xr:uid="{0D94B36F-6DAF-4343-AC19-BBA94237510B}">
      <text>
        <r>
          <rPr>
            <b/>
            <sz val="9"/>
            <color indexed="81"/>
            <rFont val="Tahoma"/>
            <family val="2"/>
          </rPr>
          <t>[29]</t>
        </r>
      </text>
    </comment>
    <comment ref="C26" authorId="0" shapeId="0" xr:uid="{A167829C-D400-4BB4-BC5C-E90C1D26141C}">
      <text>
        <r>
          <rPr>
            <b/>
            <sz val="9"/>
            <color indexed="81"/>
            <rFont val="Tahoma"/>
            <family val="2"/>
          </rPr>
          <t>[30]</t>
        </r>
      </text>
    </comment>
    <comment ref="C27" authorId="0" shapeId="0" xr:uid="{55897C85-3322-4412-9A95-C1A212ECA031}">
      <text>
        <r>
          <rPr>
            <b/>
            <sz val="9"/>
            <color indexed="81"/>
            <rFont val="Tahoma"/>
            <family val="2"/>
          </rPr>
          <t>[31]</t>
        </r>
      </text>
    </comment>
    <comment ref="C28" authorId="0" shapeId="0" xr:uid="{1D9637F0-CA60-49D0-BFBE-083D3FD3ACFB}">
      <text>
        <r>
          <rPr>
            <b/>
            <sz val="9"/>
            <color indexed="81"/>
            <rFont val="Tahoma"/>
            <family val="2"/>
          </rPr>
          <t>[32]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 Vankayala</author>
  </authors>
  <commentList>
    <comment ref="F6" authorId="0" shapeId="0" xr:uid="{657AECBA-EDB5-4575-839E-B05ECEA6F37D}">
      <text>
        <r>
          <rPr>
            <b/>
            <sz val="9"/>
            <color indexed="81"/>
            <rFont val="Tahoma"/>
            <family val="2"/>
          </rPr>
          <t>[8]</t>
        </r>
      </text>
    </comment>
    <comment ref="G6" authorId="0" shapeId="0" xr:uid="{094F03BC-5368-439C-BC9A-9601DE53A168}">
      <text>
        <r>
          <rPr>
            <b/>
            <sz val="9"/>
            <color indexed="81"/>
            <rFont val="Tahoma"/>
            <family val="2"/>
          </rPr>
          <t>[8]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" authorId="0" shapeId="0" xr:uid="{923BDE19-BBFD-407E-8B41-73515CDBBDBB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J6" authorId="0" shapeId="0" xr:uid="{AA175064-76F9-41AC-89D1-88C76CF04141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K6" authorId="0" shapeId="0" xr:uid="{5F3B965A-BD51-4E15-9324-5FE07C573112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L6" authorId="0" shapeId="0" xr:uid="{17455D4E-8AEB-4EB5-AA4A-D02D13CF4B52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M6" authorId="0" shapeId="0" xr:uid="{E89BFE56-E3DA-4453-9344-EEC6919F1B62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N6" authorId="0" shapeId="0" xr:uid="{36E2A992-5287-418F-A860-A37C71A0940A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O6" authorId="0" shapeId="0" xr:uid="{8D88C720-DCAC-4B65-9568-F1597D634F76}">
      <text>
        <r>
          <rPr>
            <b/>
            <sz val="9"/>
            <color indexed="81"/>
            <rFont val="Tahoma"/>
            <family val="2"/>
          </rPr>
          <t>[9]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Krishna Vankayala</author>
  </authors>
  <commentList>
    <comment ref="F5" authorId="0" shapeId="0" xr:uid="{66FC45D1-C74C-4727-A944-E0656953F3A0}">
      <text>
        <r>
          <rPr>
            <b/>
            <sz val="9"/>
            <color indexed="81"/>
            <rFont val="Tahoma"/>
            <family val="2"/>
          </rPr>
          <t>Krishna Vankayala:</t>
        </r>
        <r>
          <rPr>
            <sz val="9"/>
            <color indexed="81"/>
            <rFont val="Tahoma"/>
            <family val="2"/>
          </rPr>
          <t xml:space="preserve">
Base this on polling aggregate + adjusting for electorate being Harris+8</t>
        </r>
      </text>
    </comment>
    <comment ref="D6" authorId="0" shapeId="0" xr:uid="{5FC924E2-9490-44CB-AD79-63F25CD8BCDB}">
      <text>
        <r>
          <rPr>
            <b/>
            <sz val="9"/>
            <color indexed="81"/>
            <rFont val="Tahoma"/>
            <family val="2"/>
          </rPr>
          <t>[8]</t>
        </r>
      </text>
    </comment>
    <comment ref="E6" authorId="0" shapeId="0" xr:uid="{E45E6374-0507-4226-8284-CB6F08343171}">
      <text>
        <r>
          <rPr>
            <b/>
            <sz val="9"/>
            <color indexed="81"/>
            <rFont val="Tahoma"/>
            <family val="2"/>
          </rPr>
          <t>[8]</t>
        </r>
      </text>
    </comment>
    <comment ref="F6" authorId="0" shapeId="0" xr:uid="{6DD55F36-FB27-4FD9-9965-44F0FC0DA7F6}">
      <text>
        <r>
          <rPr>
            <b/>
            <sz val="9"/>
            <color indexed="81"/>
            <rFont val="Tahoma"/>
            <family val="2"/>
          </rPr>
          <t>[8]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" authorId="0" shapeId="0" xr:uid="{B4E055FD-B8C7-4370-B556-D864A0B583F6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H6" authorId="0" shapeId="0" xr:uid="{D5628053-37A0-4719-8F71-55F7C71EF9DE}">
      <text>
        <r>
          <rPr>
            <b/>
            <sz val="9"/>
            <color indexed="81"/>
            <rFont val="Tahoma"/>
            <family val="2"/>
          </rPr>
          <t>[9]</t>
        </r>
      </text>
    </comment>
    <comment ref="O6" authorId="0" shapeId="0" xr:uid="{D59378C9-5DFC-4CFE-A1B9-7B0618BF9DF3}">
      <text>
        <r>
          <rPr>
            <b/>
            <sz val="9"/>
            <color indexed="81"/>
            <rFont val="Tahoma"/>
            <family val="2"/>
          </rPr>
          <t>Krishna Vankayala:</t>
        </r>
        <r>
          <rPr>
            <sz val="9"/>
            <color indexed="81"/>
            <rFont val="Tahoma"/>
            <family val="2"/>
          </rPr>
          <t xml:space="preserve">
Used State Navigate</t>
        </r>
      </text>
    </comment>
    <comment ref="C14" authorId="0" shapeId="0" xr:uid="{B3B0536F-6FA0-4826-ACA7-E16CA46569E0}">
      <text>
        <r>
          <rPr>
            <b/>
            <sz val="9"/>
            <color indexed="81"/>
            <rFont val="Tahoma"/>
            <family val="2"/>
          </rPr>
          <t>Krishna Vankayala:</t>
        </r>
        <r>
          <rPr>
            <sz val="9"/>
            <color indexed="81"/>
            <rFont val="Tahoma"/>
            <family val="2"/>
          </rPr>
          <t xml:space="preserve">
Auto-flip 1:
Left-trending Harris+9 district, incumbency pending Dems will def flip this</t>
        </r>
      </text>
    </comment>
    <comment ref="C21" authorId="0" shapeId="0" xr:uid="{7F0124F3-674A-463B-B47F-82B1DD28CA24}">
      <text>
        <r>
          <rPr>
            <b/>
            <sz val="9"/>
            <color indexed="81"/>
            <rFont val="Tahoma"/>
            <family val="2"/>
          </rPr>
          <t>Krishna Vankayala:</t>
        </r>
        <r>
          <rPr>
            <sz val="9"/>
            <color indexed="81"/>
            <rFont val="Tahoma"/>
            <family val="2"/>
          </rPr>
          <t xml:space="preserve">
Upset Potential detected
Trump+8 and uncontested in 2023, but fundementals look good for Dems</t>
        </r>
      </text>
    </comment>
  </commentList>
</comments>
</file>

<file path=xl/sharedStrings.xml><?xml version="1.0" encoding="utf-8"?>
<sst xmlns="http://schemas.openxmlformats.org/spreadsheetml/2006/main" count="291" uniqueCount="103">
  <si>
    <t>Net Margin 2017:</t>
  </si>
  <si>
    <t>HoD Seat:</t>
  </si>
  <si>
    <t>Net Margin 2020:</t>
  </si>
  <si>
    <t>Net Margin 2023:</t>
  </si>
  <si>
    <t>Net Margin 2024:</t>
  </si>
  <si>
    <t>HD-22</t>
  </si>
  <si>
    <t>Env:</t>
  </si>
  <si>
    <t>Env is calculated on State House and US House margins</t>
  </si>
  <si>
    <t>Net Margin 2021:</t>
  </si>
  <si>
    <t>HD-30</t>
  </si>
  <si>
    <t>HD-34</t>
  </si>
  <si>
    <t>HD-41</t>
  </si>
  <si>
    <t>HD-49</t>
  </si>
  <si>
    <t>N/A</t>
  </si>
  <si>
    <t>UO</t>
  </si>
  <si>
    <t>UO = Unopposed</t>
  </si>
  <si>
    <t>HD-52</t>
  </si>
  <si>
    <t>HD-57</t>
  </si>
  <si>
    <t>HD-64</t>
  </si>
  <si>
    <t>HD-65</t>
  </si>
  <si>
    <t>HD-66</t>
  </si>
  <si>
    <t>HD-69</t>
  </si>
  <si>
    <t>HD-71</t>
  </si>
  <si>
    <t>HD-73</t>
  </si>
  <si>
    <t>HD-74</t>
  </si>
  <si>
    <t>HD-75</t>
  </si>
  <si>
    <t>HD-82</t>
  </si>
  <si>
    <t>HD-83</t>
  </si>
  <si>
    <t>HD-86</t>
  </si>
  <si>
    <t>HD-89</t>
  </si>
  <si>
    <t>HD-97</t>
  </si>
  <si>
    <t>HD-99</t>
  </si>
  <si>
    <t>HD-100</t>
  </si>
  <si>
    <t>Swing '17 -&gt; '21</t>
  </si>
  <si>
    <t>Swing '17 -&gt; '20</t>
  </si>
  <si>
    <t>Swing '20 -&gt; '21</t>
  </si>
  <si>
    <t>Swing '21 -&gt; '23</t>
  </si>
  <si>
    <t>Swing '23 -&gt; '24</t>
  </si>
  <si>
    <t>Swing '20 -&gt; '24</t>
  </si>
  <si>
    <t>Env Swing '17 -&gt; '20:</t>
  </si>
  <si>
    <t>Comp Swing '17 -&gt; '20</t>
  </si>
  <si>
    <t>Comp Swing '17 -&gt; '21</t>
  </si>
  <si>
    <t>Env Swing '17 -&gt; '21:</t>
  </si>
  <si>
    <t>Env Swing '20 -&gt; '21:</t>
  </si>
  <si>
    <t>Comp Swing '20 -&gt; '21</t>
  </si>
  <si>
    <t>Env Swing '21 -&gt; '23:</t>
  </si>
  <si>
    <t>Comp Swing '21 -&gt; '23</t>
  </si>
  <si>
    <t>Env Swing '23 -&gt; '24:</t>
  </si>
  <si>
    <t>Comp Swing '23 -&gt; '24</t>
  </si>
  <si>
    <t>Env Swing '20 -&gt; '24:</t>
  </si>
  <si>
    <t>Comp Swing '20 -&gt; '24</t>
  </si>
  <si>
    <t>% White:</t>
  </si>
  <si>
    <t>% Black:</t>
  </si>
  <si>
    <t>% Asian:</t>
  </si>
  <si>
    <t>% Hispanic:</t>
  </si>
  <si>
    <t>Average Env. Swing Compared to Env. (ALL)</t>
  </si>
  <si>
    <t>Average Env. Swing Compared to Env. (VA Elec. Yrs)</t>
  </si>
  <si>
    <t>Swing '21 -&gt; '24:</t>
  </si>
  <si>
    <t>Env Swing '21 -&gt; '24:</t>
  </si>
  <si>
    <t>Comp Swing '21 -&gt; '24:</t>
  </si>
  <si>
    <t>2025 VA Gov Prediction:</t>
  </si>
  <si>
    <t>Relevant Predicted Statewide Swing ('21 -&gt; '25):</t>
  </si>
  <si>
    <t>End Result Swing (Avg Swing VA Elect Yrs):</t>
  </si>
  <si>
    <t>End Result Swing (Avg. Swing All):</t>
  </si>
  <si>
    <t>Election Result ASA:</t>
  </si>
  <si>
    <t>ASA = Average Swing All</t>
  </si>
  <si>
    <t>Election Result ASVA:</t>
  </si>
  <si>
    <t>ASVA = Avg. Swing VA</t>
  </si>
  <si>
    <t>20 -&gt; '21 Comp. Swing</t>
  </si>
  <si>
    <t>20 -&gt; '24 Comp Swing</t>
  </si>
  <si>
    <t>21 -&gt; '24 Comp Swing</t>
  </si>
  <si>
    <t>24 -&gt; '25 Comp Swing</t>
  </si>
  <si>
    <t>24 -&gt; '25 VA Env. Swing</t>
  </si>
  <si>
    <t>Anticipated 2025 Top Ballot Result (No Incumbency Added):</t>
  </si>
  <si>
    <t>Predicted 2023 Margin:</t>
  </si>
  <si>
    <t>2021 -&gt; 2023 Swing:</t>
  </si>
  <si>
    <t>Incumbency Value:</t>
  </si>
  <si>
    <t>21 -&gt; '25 VA Env. Swing</t>
  </si>
  <si>
    <t>21 -&gt; '25 Comp Swing</t>
  </si>
  <si>
    <t>Top Ballot Proj. Margin</t>
  </si>
  <si>
    <t>Incumbency/Downballot Lag</t>
  </si>
  <si>
    <t>College Ed %</t>
  </si>
  <si>
    <t>HS Degree or less %:</t>
  </si>
  <si>
    <t>Incumbency  Value Calculator</t>
  </si>
  <si>
    <t>-</t>
  </si>
  <si>
    <t>If seat is OPEN Trump district, add 1.5 point</t>
  </si>
  <si>
    <t>If Dem incumbent in Harris won dist, subtract 2.5 points</t>
  </si>
  <si>
    <t>If seat is OPEN Harris district, subtract 0.5 points</t>
  </si>
  <si>
    <t>If 2023 actual margin is bluer than expected in a Harris district, subtract 1 point</t>
  </si>
  <si>
    <t>If 2023 actual margin is redder than it should be in a Trump district, add 1.5 points</t>
  </si>
  <si>
    <t>If 2023 actual margin is redder than expected in a Harris district, add 1 point</t>
  </si>
  <si>
    <t>If GOP incumbent in Harris won dist, add 1.5 points</t>
  </si>
  <si>
    <t>Add 1 point if GOP outspending Dem</t>
  </si>
  <si>
    <t>If Dem is outspending GOP, subtract 1 point</t>
  </si>
  <si>
    <t>If 2023 actual margin is bluer than expected in a Trump district, subtract 0.5 points</t>
  </si>
  <si>
    <t>If GOP Incumbent in Trump won dist, add 3  points</t>
  </si>
  <si>
    <t>If GOP unopposed in 2023, add 2 points</t>
  </si>
  <si>
    <t>If GOP'er has publicized scandal</t>
  </si>
  <si>
    <t>2025 Proj. Margin:</t>
  </si>
  <si>
    <t>*This is just additional data, was not used in final calculations</t>
  </si>
  <si>
    <t>This sheet serves to work as a visual divider. The next two sheets were just experimental, were not used in methodology for final calculations</t>
  </si>
  <si>
    <t>https://docs.google.com/document/d/1rLhHTX4Qoo3SvybWjfL-xlZd8-KoXo5vXZVrziZWaBI/edit?usp=sharing</t>
  </si>
  <si>
    <t>URL to Bibliography Document: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</si>
</sst>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2" fontId="0" fillId="0" borderId="0" xfId="0" applyNumberFormat="1"/>
    <xf numFmtId="0" fontId="0" fillId="2" borderId="0" xfId="0" quotePrefix="1" applyFill="1"/>
    <xf numFmtId="46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82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rLhHTX4Qoo3SvybWjfL-xlZd8-KoXo5vXZVrziZWaBI/edit?usp=sharin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64EB-8580-4061-8104-431459DABD22}">
  <dimension ref="A2:AI28"/>
  <sheetViews>
    <sheetView zoomScale="94" workbookViewId="0">
      <selection activeCell="E29" sqref="E29"/>
    </sheetView>
  </sheetViews>
  <sheetFormatPr defaultRowHeight="14.4" x14ac:dyDescent="0.3"/>
  <cols>
    <col min="3" max="3" width="12.21875" customWidth="1"/>
    <col min="4" max="4" width="17" customWidth="1"/>
    <col min="5" max="5" width="16.77734375" customWidth="1"/>
    <col min="6" max="6" width="16.33203125" customWidth="1"/>
    <col min="7" max="7" width="17.5546875" customWidth="1"/>
    <col min="8" max="8" width="16.6640625" customWidth="1"/>
    <col min="9" max="9" width="16.5546875" customWidth="1"/>
    <col min="10" max="10" width="21.5546875" customWidth="1"/>
    <col min="11" max="11" width="22.6640625" customWidth="1"/>
    <col min="12" max="12" width="18.5546875" customWidth="1"/>
    <col min="13" max="13" width="21.88671875" customWidth="1"/>
    <col min="14" max="14" width="21.44140625" customWidth="1"/>
    <col min="15" max="15" width="17.77734375" customWidth="1"/>
    <col min="16" max="16" width="20.5546875" customWidth="1"/>
    <col min="17" max="17" width="22.88671875" customWidth="1"/>
    <col min="18" max="18" width="19.21875" customWidth="1"/>
    <col min="19" max="19" width="18.21875" customWidth="1"/>
    <col min="20" max="20" width="21.33203125" customWidth="1"/>
    <col min="21" max="21" width="18.21875" customWidth="1"/>
    <col min="22" max="22" width="21" customWidth="1"/>
    <col min="23" max="23" width="21.109375" customWidth="1"/>
    <col min="24" max="24" width="18.44140625" customWidth="1"/>
    <col min="25" max="25" width="19.77734375" customWidth="1"/>
    <col min="26" max="26" width="21.6640625" customWidth="1"/>
    <col min="27" max="27" width="18.77734375" customWidth="1"/>
    <col min="28" max="28" width="21.6640625" customWidth="1"/>
    <col min="29" max="29" width="23.6640625" customWidth="1"/>
    <col min="30" max="30" width="16" customWidth="1"/>
    <col min="31" max="31" width="12.21875" customWidth="1"/>
    <col min="32" max="32" width="11.44140625" customWidth="1"/>
    <col min="33" max="34" width="14.33203125" customWidth="1"/>
    <col min="35" max="35" width="21.33203125" customWidth="1"/>
  </cols>
  <sheetData>
    <row r="2" spans="1:35" x14ac:dyDescent="0.3">
      <c r="A2" t="s">
        <v>7</v>
      </c>
    </row>
    <row r="3" spans="1:35" x14ac:dyDescent="0.3">
      <c r="A3" t="s">
        <v>15</v>
      </c>
    </row>
    <row r="5" spans="1:35" x14ac:dyDescent="0.3">
      <c r="C5" t="s">
        <v>6</v>
      </c>
      <c r="D5">
        <v>-8.93</v>
      </c>
      <c r="E5">
        <v>-10.11</v>
      </c>
      <c r="F5">
        <v>1.94</v>
      </c>
      <c r="G5">
        <v>-1.76</v>
      </c>
      <c r="H5">
        <v>-5.78</v>
      </c>
    </row>
    <row r="6" spans="1:35" x14ac:dyDescent="0.3">
      <c r="C6" s="1" t="s">
        <v>1</v>
      </c>
      <c r="D6" s="1" t="s">
        <v>0</v>
      </c>
      <c r="E6" s="1" t="s">
        <v>2</v>
      </c>
      <c r="F6" s="1" t="s">
        <v>8</v>
      </c>
      <c r="G6" s="1" t="s">
        <v>3</v>
      </c>
      <c r="H6" s="1" t="s">
        <v>4</v>
      </c>
      <c r="I6" s="1" t="s">
        <v>34</v>
      </c>
      <c r="J6" s="1" t="s">
        <v>39</v>
      </c>
      <c r="K6" s="1" t="s">
        <v>40</v>
      </c>
      <c r="L6" s="1" t="s">
        <v>33</v>
      </c>
      <c r="M6" s="1" t="s">
        <v>42</v>
      </c>
      <c r="N6" s="1" t="s">
        <v>41</v>
      </c>
      <c r="O6" s="1" t="s">
        <v>35</v>
      </c>
      <c r="P6" s="1" t="s">
        <v>43</v>
      </c>
      <c r="Q6" s="1" t="s">
        <v>44</v>
      </c>
      <c r="R6" s="1" t="s">
        <v>36</v>
      </c>
      <c r="S6" s="1" t="s">
        <v>45</v>
      </c>
      <c r="T6" s="1" t="s">
        <v>46</v>
      </c>
      <c r="U6" s="1" t="s">
        <v>37</v>
      </c>
      <c r="V6" s="1" t="s">
        <v>47</v>
      </c>
      <c r="W6" s="1" t="s">
        <v>48</v>
      </c>
      <c r="X6" s="1" t="s">
        <v>38</v>
      </c>
      <c r="Y6" s="1" t="s">
        <v>49</v>
      </c>
      <c r="Z6" s="1" t="s">
        <v>50</v>
      </c>
      <c r="AA6" s="1" t="s">
        <v>57</v>
      </c>
      <c r="AB6" s="1" t="s">
        <v>58</v>
      </c>
      <c r="AC6" s="1" t="s">
        <v>59</v>
      </c>
      <c r="AD6" s="1" t="s">
        <v>51</v>
      </c>
      <c r="AE6" s="1" t="s">
        <v>52</v>
      </c>
      <c r="AF6" s="1" t="s">
        <v>53</v>
      </c>
      <c r="AG6" s="1" t="s">
        <v>54</v>
      </c>
      <c r="AH6" s="1" t="s">
        <v>81</v>
      </c>
      <c r="AI6" s="1" t="s">
        <v>82</v>
      </c>
    </row>
    <row r="7" spans="1:35" x14ac:dyDescent="0.3">
      <c r="C7" t="s">
        <v>32</v>
      </c>
      <c r="D7">
        <v>2.6</v>
      </c>
      <c r="E7">
        <v>5.6</v>
      </c>
      <c r="F7">
        <v>16.600000000000001</v>
      </c>
      <c r="G7">
        <v>19.399999999999999</v>
      </c>
      <c r="H7">
        <v>5.4</v>
      </c>
      <c r="I7">
        <f t="shared" ref="I7:I28" si="0">E7-D7</f>
        <v>2.9999999999999996</v>
      </c>
      <c r="J7">
        <f t="shared" ref="J7:J28" si="1">$E$5-$D$5</f>
        <v>-1.1799999999999997</v>
      </c>
      <c r="K7">
        <f t="shared" ref="K7:K28" si="2">I7-J7</f>
        <v>4.18</v>
      </c>
      <c r="L7">
        <f t="shared" ref="L7:L28" si="3">F7-D7</f>
        <v>14.000000000000002</v>
      </c>
      <c r="M7">
        <f t="shared" ref="M7:M28" si="4">$F$5-$D$5</f>
        <v>10.87</v>
      </c>
      <c r="N7">
        <f t="shared" ref="N7:N28" si="5">L7-M7</f>
        <v>3.1300000000000026</v>
      </c>
      <c r="O7">
        <f t="shared" ref="O7:O28" si="6">F7-E7</f>
        <v>11.000000000000002</v>
      </c>
      <c r="P7">
        <f t="shared" ref="P7:P28" si="7">$F$5-$E$5</f>
        <v>12.049999999999999</v>
      </c>
      <c r="Q7">
        <f t="shared" ref="Q7:Q28" si="8">O7-P7</f>
        <v>-1.0499999999999972</v>
      </c>
      <c r="R7">
        <f>G7-F7</f>
        <v>2.7999999999999972</v>
      </c>
      <c r="S7">
        <f t="shared" ref="S7:S28" si="9">$G$5-$F$5</f>
        <v>-3.7</v>
      </c>
      <c r="T7">
        <f>R7-S7</f>
        <v>6.4999999999999973</v>
      </c>
      <c r="U7">
        <f>H7-G7</f>
        <v>-13.999999999999998</v>
      </c>
      <c r="V7">
        <f t="shared" ref="V7:V28" si="10">$H$5-$G$5</f>
        <v>-4.0200000000000005</v>
      </c>
      <c r="W7">
        <f>U7-V7</f>
        <v>-9.9799999999999969</v>
      </c>
      <c r="X7">
        <f t="shared" ref="X7:X28" si="11">H7-E7</f>
        <v>-0.19999999999999929</v>
      </c>
      <c r="Y7">
        <f t="shared" ref="Y7:Y28" si="12">$H$5-$E$5</f>
        <v>4.3299999999999992</v>
      </c>
      <c r="Z7">
        <f t="shared" ref="Z7:Z28" si="13">X7-Y7</f>
        <v>-4.5299999999999985</v>
      </c>
      <c r="AA7">
        <f t="shared" ref="AA7:AA28" si="14">H7-F7</f>
        <v>-11.200000000000001</v>
      </c>
      <c r="AB7">
        <f t="shared" ref="AB7:AB28" si="15">$H$5-$F$5</f>
        <v>-7.7200000000000006</v>
      </c>
      <c r="AC7">
        <f t="shared" ref="AC7:AC28" si="16">AA7-AB7</f>
        <v>-3.4800000000000004</v>
      </c>
      <c r="AD7" s="3">
        <v>0.63400000000000001</v>
      </c>
      <c r="AE7" s="3">
        <v>0.19400000000000001</v>
      </c>
      <c r="AF7" s="3">
        <v>3.1E-2</v>
      </c>
      <c r="AG7" s="3">
        <v>9.1999999999999998E-2</v>
      </c>
      <c r="AH7" s="3">
        <v>0.35200000000000004</v>
      </c>
      <c r="AI7" s="3">
        <v>0.64800000000000002</v>
      </c>
    </row>
    <row r="8" spans="1:35" x14ac:dyDescent="0.3">
      <c r="C8" t="s">
        <v>5</v>
      </c>
      <c r="D8">
        <v>0.6</v>
      </c>
      <c r="E8">
        <v>-5.4</v>
      </c>
      <c r="F8">
        <v>5.7</v>
      </c>
      <c r="G8">
        <v>4.5999999999999996</v>
      </c>
      <c r="H8">
        <v>-0.7</v>
      </c>
      <c r="I8">
        <f t="shared" si="0"/>
        <v>-6</v>
      </c>
      <c r="J8">
        <f t="shared" si="1"/>
        <v>-1.1799999999999997</v>
      </c>
      <c r="K8">
        <f t="shared" si="2"/>
        <v>-4.82</v>
      </c>
      <c r="L8">
        <f t="shared" si="3"/>
        <v>5.1000000000000005</v>
      </c>
      <c r="M8">
        <f t="shared" si="4"/>
        <v>10.87</v>
      </c>
      <c r="N8">
        <f t="shared" si="5"/>
        <v>-5.7699999999999987</v>
      </c>
      <c r="O8">
        <f t="shared" si="6"/>
        <v>11.100000000000001</v>
      </c>
      <c r="P8">
        <f t="shared" si="7"/>
        <v>12.049999999999999</v>
      </c>
      <c r="Q8">
        <f t="shared" si="8"/>
        <v>-0.94999999999999751</v>
      </c>
      <c r="R8">
        <f>G8-F8</f>
        <v>-1.1000000000000005</v>
      </c>
      <c r="S8">
        <f t="shared" si="9"/>
        <v>-3.7</v>
      </c>
      <c r="T8">
        <f>R8-S8</f>
        <v>2.5999999999999996</v>
      </c>
      <c r="U8">
        <f>H8-G8</f>
        <v>-5.3</v>
      </c>
      <c r="V8">
        <f t="shared" si="10"/>
        <v>-4.0200000000000005</v>
      </c>
      <c r="W8">
        <f>U8-V8</f>
        <v>-1.2799999999999994</v>
      </c>
      <c r="X8">
        <f t="shared" si="11"/>
        <v>4.7</v>
      </c>
      <c r="Y8">
        <f t="shared" si="12"/>
        <v>4.3299999999999992</v>
      </c>
      <c r="Z8">
        <f t="shared" si="13"/>
        <v>0.37000000000000099</v>
      </c>
      <c r="AA8">
        <f t="shared" si="14"/>
        <v>-6.4</v>
      </c>
      <c r="AB8">
        <f t="shared" si="15"/>
        <v>-7.7200000000000006</v>
      </c>
      <c r="AC8">
        <f t="shared" si="16"/>
        <v>1.3200000000000003</v>
      </c>
      <c r="AD8" s="3">
        <v>0.57999999999999996</v>
      </c>
      <c r="AE8" s="3">
        <v>0.10100000000000001</v>
      </c>
      <c r="AF8" s="3">
        <v>0.109</v>
      </c>
      <c r="AG8" s="3">
        <v>0.14099999999999999</v>
      </c>
      <c r="AH8" s="3">
        <v>0.53</v>
      </c>
      <c r="AI8" s="3">
        <v>0.47</v>
      </c>
    </row>
    <row r="9" spans="1:35" x14ac:dyDescent="0.3">
      <c r="C9" t="s">
        <v>9</v>
      </c>
      <c r="D9">
        <v>4</v>
      </c>
      <c r="E9">
        <v>-0.6</v>
      </c>
      <c r="F9">
        <v>13.5</v>
      </c>
      <c r="G9">
        <v>6.4</v>
      </c>
      <c r="H9">
        <v>1.2</v>
      </c>
      <c r="I9">
        <f t="shared" si="0"/>
        <v>-4.5999999999999996</v>
      </c>
      <c r="J9">
        <f t="shared" si="1"/>
        <v>-1.1799999999999997</v>
      </c>
      <c r="K9">
        <f t="shared" si="2"/>
        <v>-3.42</v>
      </c>
      <c r="L9">
        <f t="shared" si="3"/>
        <v>9.5</v>
      </c>
      <c r="M9">
        <f t="shared" si="4"/>
        <v>10.87</v>
      </c>
      <c r="N9">
        <f t="shared" si="5"/>
        <v>-1.3699999999999992</v>
      </c>
      <c r="O9">
        <f t="shared" si="6"/>
        <v>14.1</v>
      </c>
      <c r="P9">
        <f t="shared" si="7"/>
        <v>12.049999999999999</v>
      </c>
      <c r="Q9">
        <f t="shared" si="8"/>
        <v>2.0500000000000007</v>
      </c>
      <c r="R9">
        <f>G9-F9</f>
        <v>-7.1</v>
      </c>
      <c r="S9">
        <f t="shared" si="9"/>
        <v>-3.7</v>
      </c>
      <c r="T9">
        <f>R9-S9</f>
        <v>-3.3999999999999995</v>
      </c>
      <c r="U9">
        <f>H9-G9</f>
        <v>-5.2</v>
      </c>
      <c r="V9">
        <f t="shared" si="10"/>
        <v>-4.0200000000000005</v>
      </c>
      <c r="W9">
        <f>U9-V9</f>
        <v>-1.1799999999999997</v>
      </c>
      <c r="X9">
        <f t="shared" si="11"/>
        <v>1.7999999999999998</v>
      </c>
      <c r="Y9">
        <f t="shared" si="12"/>
        <v>4.3299999999999992</v>
      </c>
      <c r="Z9">
        <f t="shared" si="13"/>
        <v>-2.5299999999999994</v>
      </c>
      <c r="AA9">
        <f t="shared" si="14"/>
        <v>-12.3</v>
      </c>
      <c r="AB9">
        <f t="shared" si="15"/>
        <v>-7.7200000000000006</v>
      </c>
      <c r="AC9">
        <f t="shared" si="16"/>
        <v>-4.58</v>
      </c>
      <c r="AD9" s="3">
        <v>0.72</v>
      </c>
      <c r="AE9" s="3">
        <v>4.3999999999999997E-2</v>
      </c>
      <c r="AF9" s="3">
        <v>9.1999999999999998E-2</v>
      </c>
      <c r="AG9" s="3">
        <v>8.3000000000000004E-2</v>
      </c>
      <c r="AH9" s="3">
        <v>0.60299999999999998</v>
      </c>
      <c r="AI9" s="3">
        <v>0.39700000000000002</v>
      </c>
    </row>
    <row r="10" spans="1:35" x14ac:dyDescent="0.3">
      <c r="C10" t="s">
        <v>10</v>
      </c>
      <c r="D10">
        <v>5.5</v>
      </c>
      <c r="E10">
        <v>4.2</v>
      </c>
      <c r="F10">
        <v>17.899999999999999</v>
      </c>
      <c r="G10">
        <v>13.8</v>
      </c>
      <c r="H10">
        <v>6.5</v>
      </c>
      <c r="I10">
        <f t="shared" si="0"/>
        <v>-1.2999999999999998</v>
      </c>
      <c r="J10">
        <f t="shared" si="1"/>
        <v>-1.1799999999999997</v>
      </c>
      <c r="K10">
        <f t="shared" si="2"/>
        <v>-0.12000000000000011</v>
      </c>
      <c r="L10">
        <f t="shared" si="3"/>
        <v>12.399999999999999</v>
      </c>
      <c r="M10">
        <f t="shared" si="4"/>
        <v>10.87</v>
      </c>
      <c r="N10">
        <f t="shared" si="5"/>
        <v>1.5299999999999994</v>
      </c>
      <c r="O10">
        <f t="shared" si="6"/>
        <v>13.7</v>
      </c>
      <c r="P10">
        <f t="shared" si="7"/>
        <v>12.049999999999999</v>
      </c>
      <c r="Q10">
        <f t="shared" si="8"/>
        <v>1.6500000000000004</v>
      </c>
      <c r="R10">
        <f>G10-F10</f>
        <v>-4.0999999999999979</v>
      </c>
      <c r="S10">
        <f t="shared" si="9"/>
        <v>-3.7</v>
      </c>
      <c r="T10">
        <f>R10-S10</f>
        <v>-0.39999999999999769</v>
      </c>
      <c r="U10">
        <f>H10-G10</f>
        <v>-7.3000000000000007</v>
      </c>
      <c r="V10">
        <f t="shared" si="10"/>
        <v>-4.0200000000000005</v>
      </c>
      <c r="W10">
        <f>U10-V10</f>
        <v>-3.2800000000000002</v>
      </c>
      <c r="X10">
        <f t="shared" si="11"/>
        <v>2.2999999999999998</v>
      </c>
      <c r="Y10">
        <f t="shared" si="12"/>
        <v>4.3299999999999992</v>
      </c>
      <c r="Z10">
        <f t="shared" si="13"/>
        <v>-2.0299999999999994</v>
      </c>
      <c r="AA10">
        <f t="shared" si="14"/>
        <v>-11.399999999999999</v>
      </c>
      <c r="AB10">
        <f t="shared" si="15"/>
        <v>-7.7200000000000006</v>
      </c>
      <c r="AC10">
        <f t="shared" si="16"/>
        <v>-3.6799999999999979</v>
      </c>
      <c r="AD10" s="3">
        <v>0.70299999999999996</v>
      </c>
      <c r="AE10" s="3">
        <v>5.3999999999999999E-2</v>
      </c>
      <c r="AF10" s="3">
        <v>0.03</v>
      </c>
      <c r="AG10" s="3">
        <v>0.17299999999999999</v>
      </c>
      <c r="AH10" s="3">
        <v>0.34100000000000003</v>
      </c>
      <c r="AI10" s="3">
        <v>0.65900000000000003</v>
      </c>
    </row>
    <row r="11" spans="1:35" x14ac:dyDescent="0.3">
      <c r="C11" t="s">
        <v>11</v>
      </c>
      <c r="D11">
        <v>-3.8</v>
      </c>
      <c r="E11">
        <v>0.8</v>
      </c>
      <c r="F11">
        <v>11</v>
      </c>
      <c r="G11">
        <v>0.7</v>
      </c>
      <c r="H11">
        <v>2.9</v>
      </c>
      <c r="I11">
        <f t="shared" si="0"/>
        <v>4.5999999999999996</v>
      </c>
      <c r="J11">
        <f t="shared" si="1"/>
        <v>-1.1799999999999997</v>
      </c>
      <c r="K11">
        <f t="shared" si="2"/>
        <v>5.7799999999999994</v>
      </c>
      <c r="L11">
        <f t="shared" si="3"/>
        <v>14.8</v>
      </c>
      <c r="M11">
        <f t="shared" si="4"/>
        <v>10.87</v>
      </c>
      <c r="N11">
        <f t="shared" si="5"/>
        <v>3.9300000000000015</v>
      </c>
      <c r="O11">
        <f t="shared" si="6"/>
        <v>10.199999999999999</v>
      </c>
      <c r="P11">
        <f t="shared" si="7"/>
        <v>12.049999999999999</v>
      </c>
      <c r="Q11">
        <f t="shared" si="8"/>
        <v>-1.8499999999999996</v>
      </c>
      <c r="R11">
        <f>G11-F11</f>
        <v>-10.3</v>
      </c>
      <c r="S11">
        <f t="shared" si="9"/>
        <v>-3.7</v>
      </c>
      <c r="T11">
        <f>R11-S11</f>
        <v>-6.6000000000000005</v>
      </c>
      <c r="U11">
        <f>H11-G11</f>
        <v>2.2000000000000002</v>
      </c>
      <c r="V11">
        <f t="shared" si="10"/>
        <v>-4.0200000000000005</v>
      </c>
      <c r="W11">
        <f>U11-V11</f>
        <v>6.2200000000000006</v>
      </c>
      <c r="X11">
        <f t="shared" si="11"/>
        <v>2.0999999999999996</v>
      </c>
      <c r="Y11">
        <f t="shared" si="12"/>
        <v>4.3299999999999992</v>
      </c>
      <c r="Z11">
        <f t="shared" si="13"/>
        <v>-2.2299999999999995</v>
      </c>
      <c r="AA11">
        <f t="shared" si="14"/>
        <v>-8.1</v>
      </c>
      <c r="AB11">
        <f t="shared" si="15"/>
        <v>-7.7200000000000006</v>
      </c>
      <c r="AC11">
        <f t="shared" si="16"/>
        <v>-0.37999999999999901</v>
      </c>
      <c r="AD11" s="3">
        <v>0.78800000000000003</v>
      </c>
      <c r="AE11" s="3">
        <v>3.2000000000000001E-2</v>
      </c>
      <c r="AF11" s="3">
        <v>9.2999999999999999E-2</v>
      </c>
      <c r="AG11" s="3">
        <v>4.2000000000000003E-2</v>
      </c>
      <c r="AH11" s="3">
        <v>0.48</v>
      </c>
      <c r="AI11" s="3">
        <v>0.52</v>
      </c>
    </row>
    <row r="12" spans="1:35" x14ac:dyDescent="0.3">
      <c r="C12" t="s">
        <v>12</v>
      </c>
      <c r="D12">
        <v>10.3</v>
      </c>
      <c r="E12">
        <v>3.5</v>
      </c>
      <c r="F12">
        <v>19.5</v>
      </c>
      <c r="G12" t="s">
        <v>14</v>
      </c>
      <c r="H12">
        <v>8.3000000000000007</v>
      </c>
      <c r="I12">
        <f t="shared" si="0"/>
        <v>-6.8000000000000007</v>
      </c>
      <c r="J12">
        <f t="shared" si="1"/>
        <v>-1.1799999999999997</v>
      </c>
      <c r="K12">
        <f t="shared" si="2"/>
        <v>-5.620000000000001</v>
      </c>
      <c r="L12">
        <f t="shared" si="3"/>
        <v>9.1999999999999993</v>
      </c>
      <c r="M12">
        <f t="shared" si="4"/>
        <v>10.87</v>
      </c>
      <c r="N12">
        <f t="shared" si="5"/>
        <v>-1.67</v>
      </c>
      <c r="O12">
        <f t="shared" si="6"/>
        <v>16</v>
      </c>
      <c r="P12">
        <f t="shared" si="7"/>
        <v>12.049999999999999</v>
      </c>
      <c r="Q12">
        <f t="shared" si="8"/>
        <v>3.9500000000000011</v>
      </c>
      <c r="R12" t="s">
        <v>13</v>
      </c>
      <c r="S12">
        <f t="shared" si="9"/>
        <v>-3.7</v>
      </c>
      <c r="T12" t="s">
        <v>13</v>
      </c>
      <c r="U12" t="s">
        <v>13</v>
      </c>
      <c r="V12">
        <f t="shared" si="10"/>
        <v>-4.0200000000000005</v>
      </c>
      <c r="W12" t="s">
        <v>13</v>
      </c>
      <c r="X12">
        <f t="shared" si="11"/>
        <v>4.8000000000000007</v>
      </c>
      <c r="Y12">
        <f t="shared" si="12"/>
        <v>4.3299999999999992</v>
      </c>
      <c r="Z12">
        <f t="shared" si="13"/>
        <v>0.47000000000000153</v>
      </c>
      <c r="AA12">
        <f t="shared" si="14"/>
        <v>-11.2</v>
      </c>
      <c r="AB12">
        <f t="shared" si="15"/>
        <v>-7.7200000000000006</v>
      </c>
      <c r="AC12">
        <f t="shared" si="16"/>
        <v>-3.4799999999999986</v>
      </c>
      <c r="AD12" s="3">
        <v>0.52200000000000002</v>
      </c>
      <c r="AE12" s="3">
        <v>0.39900000000000002</v>
      </c>
      <c r="AF12" s="3">
        <v>0.01</v>
      </c>
      <c r="AG12" s="3">
        <v>3.7999999999999999E-2</v>
      </c>
      <c r="AH12" s="3">
        <v>0.185</v>
      </c>
      <c r="AI12" s="3">
        <v>0.81499999999999995</v>
      </c>
    </row>
    <row r="13" spans="1:35" x14ac:dyDescent="0.3">
      <c r="C13" t="s">
        <v>16</v>
      </c>
      <c r="D13">
        <v>9.1</v>
      </c>
      <c r="E13">
        <v>2.2999999999999998</v>
      </c>
      <c r="F13">
        <v>15.9</v>
      </c>
      <c r="G13">
        <v>9</v>
      </c>
      <c r="H13">
        <v>11.7</v>
      </c>
      <c r="I13">
        <f t="shared" si="0"/>
        <v>-6.8</v>
      </c>
      <c r="J13">
        <f t="shared" si="1"/>
        <v>-1.1799999999999997</v>
      </c>
      <c r="K13">
        <f t="shared" si="2"/>
        <v>-5.62</v>
      </c>
      <c r="L13">
        <f t="shared" si="3"/>
        <v>6.8000000000000007</v>
      </c>
      <c r="M13">
        <f t="shared" si="4"/>
        <v>10.87</v>
      </c>
      <c r="N13">
        <f t="shared" si="5"/>
        <v>-4.0699999999999985</v>
      </c>
      <c r="O13">
        <f t="shared" si="6"/>
        <v>13.600000000000001</v>
      </c>
      <c r="P13">
        <f t="shared" si="7"/>
        <v>12.049999999999999</v>
      </c>
      <c r="Q13">
        <f t="shared" si="8"/>
        <v>1.5500000000000025</v>
      </c>
      <c r="R13">
        <f>G13-F13</f>
        <v>-6.9</v>
      </c>
      <c r="S13">
        <f t="shared" si="9"/>
        <v>-3.7</v>
      </c>
      <c r="T13">
        <f>R13-S13</f>
        <v>-3.2</v>
      </c>
      <c r="U13">
        <f>H13-G13</f>
        <v>2.6999999999999993</v>
      </c>
      <c r="V13">
        <f t="shared" si="10"/>
        <v>-4.0200000000000005</v>
      </c>
      <c r="W13">
        <f>U13-V13</f>
        <v>6.72</v>
      </c>
      <c r="X13">
        <f t="shared" si="11"/>
        <v>9.3999999999999986</v>
      </c>
      <c r="Y13">
        <f t="shared" si="12"/>
        <v>4.3299999999999992</v>
      </c>
      <c r="Z13">
        <f t="shared" si="13"/>
        <v>5.0699999999999994</v>
      </c>
      <c r="AA13">
        <f t="shared" si="14"/>
        <v>-4.2000000000000011</v>
      </c>
      <c r="AB13">
        <f t="shared" si="15"/>
        <v>-7.7200000000000006</v>
      </c>
      <c r="AC13">
        <f t="shared" si="16"/>
        <v>3.5199999999999996</v>
      </c>
      <c r="AD13" s="3">
        <v>0.61899999999999999</v>
      </c>
      <c r="AE13" s="3">
        <v>0.253</v>
      </c>
      <c r="AF13" s="3">
        <v>2.1999999999999999E-2</v>
      </c>
      <c r="AG13" s="3">
        <v>0.05</v>
      </c>
      <c r="AH13" s="3">
        <v>0.38</v>
      </c>
      <c r="AI13" s="3">
        <v>0.62</v>
      </c>
    </row>
    <row r="14" spans="1:35" x14ac:dyDescent="0.3">
      <c r="C14" t="s">
        <v>17</v>
      </c>
      <c r="D14">
        <v>1.3</v>
      </c>
      <c r="E14">
        <v>-5.4</v>
      </c>
      <c r="F14">
        <v>3.5</v>
      </c>
      <c r="G14">
        <v>2</v>
      </c>
      <c r="H14">
        <v>-9.4</v>
      </c>
      <c r="I14">
        <f t="shared" si="0"/>
        <v>-6.7</v>
      </c>
      <c r="J14">
        <f t="shared" si="1"/>
        <v>-1.1799999999999997</v>
      </c>
      <c r="K14">
        <f t="shared" si="2"/>
        <v>-5.5200000000000005</v>
      </c>
      <c r="L14">
        <f t="shared" si="3"/>
        <v>2.2000000000000002</v>
      </c>
      <c r="M14">
        <f t="shared" si="4"/>
        <v>10.87</v>
      </c>
      <c r="N14">
        <f t="shared" si="5"/>
        <v>-8.6699999999999982</v>
      </c>
      <c r="O14">
        <f t="shared" si="6"/>
        <v>8.9</v>
      </c>
      <c r="P14">
        <f t="shared" si="7"/>
        <v>12.049999999999999</v>
      </c>
      <c r="Q14">
        <f t="shared" si="8"/>
        <v>-3.1499999999999986</v>
      </c>
      <c r="R14">
        <f>G14-F14</f>
        <v>-1.5</v>
      </c>
      <c r="S14">
        <f t="shared" si="9"/>
        <v>-3.7</v>
      </c>
      <c r="T14">
        <f>R14-S14</f>
        <v>2.2000000000000002</v>
      </c>
      <c r="U14">
        <f>H14-G14</f>
        <v>-11.4</v>
      </c>
      <c r="V14">
        <f t="shared" si="10"/>
        <v>-4.0200000000000005</v>
      </c>
      <c r="W14">
        <f>U14-V14</f>
        <v>-7.38</v>
      </c>
      <c r="X14">
        <f t="shared" si="11"/>
        <v>-4</v>
      </c>
      <c r="Y14">
        <f t="shared" si="12"/>
        <v>4.3299999999999992</v>
      </c>
      <c r="Z14">
        <f t="shared" si="13"/>
        <v>-8.3299999999999983</v>
      </c>
      <c r="AA14">
        <f t="shared" si="14"/>
        <v>-12.9</v>
      </c>
      <c r="AB14">
        <f t="shared" si="15"/>
        <v>-7.7200000000000006</v>
      </c>
      <c r="AC14">
        <f t="shared" si="16"/>
        <v>-5.18</v>
      </c>
      <c r="AD14" s="3">
        <v>0.61299999999999999</v>
      </c>
      <c r="AE14" s="3">
        <v>8.5000000000000006E-2</v>
      </c>
      <c r="AF14" s="3">
        <v>0.20399999999999999</v>
      </c>
      <c r="AG14" s="3">
        <v>4.9000000000000002E-2</v>
      </c>
      <c r="AH14" s="3">
        <v>0.66799999999999993</v>
      </c>
      <c r="AI14" s="3">
        <v>0.33200000000000002</v>
      </c>
    </row>
    <row r="15" spans="1:35" x14ac:dyDescent="0.3">
      <c r="C15" t="s">
        <v>18</v>
      </c>
      <c r="D15">
        <v>8.8000000000000007</v>
      </c>
      <c r="E15">
        <v>0.7</v>
      </c>
      <c r="F15">
        <v>13.8</v>
      </c>
      <c r="G15">
        <v>9</v>
      </c>
      <c r="H15">
        <v>1.9</v>
      </c>
      <c r="I15">
        <f t="shared" si="0"/>
        <v>-8.1000000000000014</v>
      </c>
      <c r="J15">
        <f t="shared" si="1"/>
        <v>-1.1799999999999997</v>
      </c>
      <c r="K15">
        <f t="shared" si="2"/>
        <v>-6.9200000000000017</v>
      </c>
      <c r="L15">
        <f t="shared" si="3"/>
        <v>5</v>
      </c>
      <c r="M15">
        <f t="shared" si="4"/>
        <v>10.87</v>
      </c>
      <c r="N15">
        <f t="shared" si="5"/>
        <v>-5.8699999999999992</v>
      </c>
      <c r="O15">
        <f t="shared" si="6"/>
        <v>13.100000000000001</v>
      </c>
      <c r="P15">
        <f t="shared" si="7"/>
        <v>12.049999999999999</v>
      </c>
      <c r="Q15">
        <f t="shared" si="8"/>
        <v>1.0500000000000025</v>
      </c>
      <c r="R15">
        <f>G15-F15</f>
        <v>-4.8000000000000007</v>
      </c>
      <c r="S15">
        <f t="shared" si="9"/>
        <v>-3.7</v>
      </c>
      <c r="T15">
        <f>R15-S15</f>
        <v>-1.1000000000000005</v>
      </c>
      <c r="U15">
        <f>H15-G15</f>
        <v>-7.1</v>
      </c>
      <c r="V15">
        <f t="shared" si="10"/>
        <v>-4.0200000000000005</v>
      </c>
      <c r="W15">
        <f>U15-V15</f>
        <v>-3.0799999999999992</v>
      </c>
      <c r="X15">
        <f t="shared" si="11"/>
        <v>1.2</v>
      </c>
      <c r="Y15">
        <f t="shared" si="12"/>
        <v>4.3299999999999992</v>
      </c>
      <c r="Z15">
        <f t="shared" si="13"/>
        <v>-3.129999999999999</v>
      </c>
      <c r="AA15">
        <f t="shared" si="14"/>
        <v>-11.9</v>
      </c>
      <c r="AB15">
        <f t="shared" si="15"/>
        <v>-7.7200000000000006</v>
      </c>
      <c r="AC15">
        <f t="shared" si="16"/>
        <v>-4.18</v>
      </c>
      <c r="AD15" s="3">
        <v>0.55900000000000005</v>
      </c>
      <c r="AE15" s="3">
        <v>0.184</v>
      </c>
      <c r="AF15" s="3">
        <v>3.7999999999999999E-2</v>
      </c>
      <c r="AG15" s="3">
        <v>0.14299999999999999</v>
      </c>
      <c r="AH15" s="3">
        <v>0.44500000000000001</v>
      </c>
      <c r="AI15" s="3">
        <v>0.55500000000000005</v>
      </c>
    </row>
    <row r="16" spans="1:35" x14ac:dyDescent="0.3">
      <c r="C16" s="2" t="s">
        <v>19</v>
      </c>
      <c r="D16">
        <v>-4.4000000000000004</v>
      </c>
      <c r="E16">
        <v>-11.7</v>
      </c>
      <c r="F16">
        <v>2.8</v>
      </c>
      <c r="G16">
        <v>-6</v>
      </c>
      <c r="H16">
        <v>-9.5</v>
      </c>
      <c r="I16">
        <f t="shared" si="0"/>
        <v>-7.2999999999999989</v>
      </c>
      <c r="J16">
        <f t="shared" si="1"/>
        <v>-1.1799999999999997</v>
      </c>
      <c r="K16">
        <f t="shared" si="2"/>
        <v>-6.1199999999999992</v>
      </c>
      <c r="L16">
        <f t="shared" si="3"/>
        <v>7.2</v>
      </c>
      <c r="M16">
        <f t="shared" si="4"/>
        <v>10.87</v>
      </c>
      <c r="N16">
        <f t="shared" si="5"/>
        <v>-3.669999999999999</v>
      </c>
      <c r="O16">
        <f t="shared" si="6"/>
        <v>14.5</v>
      </c>
      <c r="P16">
        <f t="shared" si="7"/>
        <v>12.049999999999999</v>
      </c>
      <c r="Q16">
        <f t="shared" si="8"/>
        <v>2.4500000000000011</v>
      </c>
      <c r="R16">
        <f>G16-F16</f>
        <v>-8.8000000000000007</v>
      </c>
      <c r="S16">
        <f t="shared" si="9"/>
        <v>-3.7</v>
      </c>
      <c r="T16">
        <f>R16-S16</f>
        <v>-5.1000000000000005</v>
      </c>
      <c r="U16">
        <f>H16-G16</f>
        <v>-3.5</v>
      </c>
      <c r="V16">
        <f t="shared" si="10"/>
        <v>-4.0200000000000005</v>
      </c>
      <c r="W16">
        <f>U16-V16</f>
        <v>0.52000000000000046</v>
      </c>
      <c r="X16">
        <f t="shared" si="11"/>
        <v>2.1999999999999993</v>
      </c>
      <c r="Y16">
        <f t="shared" si="12"/>
        <v>4.3299999999999992</v>
      </c>
      <c r="Z16">
        <f t="shared" si="13"/>
        <v>-2.13</v>
      </c>
      <c r="AA16">
        <f t="shared" si="14"/>
        <v>-12.3</v>
      </c>
      <c r="AB16">
        <f t="shared" si="15"/>
        <v>-7.7200000000000006</v>
      </c>
      <c r="AC16">
        <f t="shared" si="16"/>
        <v>-4.58</v>
      </c>
      <c r="AD16" s="3">
        <v>0.58699999999999997</v>
      </c>
      <c r="AE16" s="3">
        <v>0.17799999999999999</v>
      </c>
      <c r="AF16" s="3">
        <v>3.9E-2</v>
      </c>
      <c r="AG16" s="3">
        <v>0.12</v>
      </c>
      <c r="AH16" s="3">
        <v>0.42100000000000004</v>
      </c>
      <c r="AI16" s="3">
        <v>0.57899999999999996</v>
      </c>
    </row>
    <row r="17" spans="3:35" x14ac:dyDescent="0.3">
      <c r="C17" t="s">
        <v>20</v>
      </c>
      <c r="D17">
        <v>2.5</v>
      </c>
      <c r="E17">
        <v>0.8</v>
      </c>
      <c r="F17">
        <v>12.6</v>
      </c>
      <c r="G17">
        <v>11.5</v>
      </c>
      <c r="H17">
        <v>2.4</v>
      </c>
      <c r="I17">
        <f t="shared" si="0"/>
        <v>-1.7</v>
      </c>
      <c r="J17">
        <f t="shared" si="1"/>
        <v>-1.1799999999999997</v>
      </c>
      <c r="K17">
        <f t="shared" si="2"/>
        <v>-0.52000000000000024</v>
      </c>
      <c r="L17">
        <f t="shared" si="3"/>
        <v>10.1</v>
      </c>
      <c r="M17">
        <f t="shared" si="4"/>
        <v>10.87</v>
      </c>
      <c r="N17">
        <f t="shared" si="5"/>
        <v>-0.76999999999999957</v>
      </c>
      <c r="O17">
        <f t="shared" si="6"/>
        <v>11.799999999999999</v>
      </c>
      <c r="P17">
        <f t="shared" si="7"/>
        <v>12.049999999999999</v>
      </c>
      <c r="Q17">
        <f t="shared" si="8"/>
        <v>-0.25</v>
      </c>
      <c r="R17">
        <f>G17-F17</f>
        <v>-1.0999999999999996</v>
      </c>
      <c r="S17">
        <f t="shared" si="9"/>
        <v>-3.7</v>
      </c>
      <c r="T17">
        <f>R17-S17</f>
        <v>2.6000000000000005</v>
      </c>
      <c r="U17">
        <f>H17-G17</f>
        <v>-9.1</v>
      </c>
      <c r="V17">
        <f t="shared" si="10"/>
        <v>-4.0200000000000005</v>
      </c>
      <c r="W17">
        <f>U17-V17</f>
        <v>-5.0799999999999992</v>
      </c>
      <c r="X17">
        <f t="shared" si="11"/>
        <v>1.5999999999999999</v>
      </c>
      <c r="Y17">
        <f t="shared" si="12"/>
        <v>4.3299999999999992</v>
      </c>
      <c r="Z17">
        <f t="shared" si="13"/>
        <v>-2.7299999999999995</v>
      </c>
      <c r="AA17">
        <f t="shared" si="14"/>
        <v>-10.199999999999999</v>
      </c>
      <c r="AB17">
        <f t="shared" si="15"/>
        <v>-7.7200000000000006</v>
      </c>
      <c r="AC17">
        <f t="shared" si="16"/>
        <v>-2.4799999999999986</v>
      </c>
      <c r="AD17" s="3">
        <v>0.58899999999999997</v>
      </c>
      <c r="AE17" s="3">
        <v>0.21199999999999999</v>
      </c>
      <c r="AF17" s="3">
        <v>2.5999999999999999E-2</v>
      </c>
      <c r="AG17" s="3">
        <v>0.10100000000000001</v>
      </c>
      <c r="AH17" s="3">
        <v>0.32100000000000001</v>
      </c>
      <c r="AI17" s="3">
        <v>0.67799999999999994</v>
      </c>
    </row>
    <row r="18" spans="3:35" x14ac:dyDescent="0.3">
      <c r="C18" t="s">
        <v>21</v>
      </c>
      <c r="D18">
        <v>5</v>
      </c>
      <c r="E18">
        <v>1.8</v>
      </c>
      <c r="F18">
        <v>12.7</v>
      </c>
      <c r="G18" t="s">
        <v>14</v>
      </c>
      <c r="H18">
        <v>1.6</v>
      </c>
      <c r="I18">
        <f t="shared" si="0"/>
        <v>-3.2</v>
      </c>
      <c r="J18">
        <f t="shared" si="1"/>
        <v>-1.1799999999999997</v>
      </c>
      <c r="K18">
        <f t="shared" si="2"/>
        <v>-2.0200000000000005</v>
      </c>
      <c r="L18">
        <f t="shared" si="3"/>
        <v>7.6999999999999993</v>
      </c>
      <c r="M18">
        <f t="shared" si="4"/>
        <v>10.87</v>
      </c>
      <c r="N18">
        <f t="shared" si="5"/>
        <v>-3.17</v>
      </c>
      <c r="O18">
        <f t="shared" si="6"/>
        <v>10.899999999999999</v>
      </c>
      <c r="P18">
        <f t="shared" si="7"/>
        <v>12.049999999999999</v>
      </c>
      <c r="Q18">
        <f t="shared" si="8"/>
        <v>-1.1500000000000004</v>
      </c>
      <c r="R18" t="s">
        <v>13</v>
      </c>
      <c r="S18">
        <f t="shared" si="9"/>
        <v>-3.7</v>
      </c>
      <c r="T18" t="s">
        <v>13</v>
      </c>
      <c r="U18" t="s">
        <v>13</v>
      </c>
      <c r="V18">
        <f t="shared" si="10"/>
        <v>-4.0200000000000005</v>
      </c>
      <c r="W18" t="s">
        <v>13</v>
      </c>
      <c r="X18">
        <f t="shared" si="11"/>
        <v>-0.19999999999999996</v>
      </c>
      <c r="Y18">
        <f t="shared" si="12"/>
        <v>4.3299999999999992</v>
      </c>
      <c r="Z18">
        <f t="shared" si="13"/>
        <v>-4.5299999999999994</v>
      </c>
      <c r="AA18">
        <f t="shared" si="14"/>
        <v>-11.1</v>
      </c>
      <c r="AB18">
        <f t="shared" si="15"/>
        <v>-7.7200000000000006</v>
      </c>
      <c r="AC18">
        <f t="shared" si="16"/>
        <v>-3.379999999999999</v>
      </c>
      <c r="AD18" s="3">
        <v>0.67</v>
      </c>
      <c r="AE18" s="3">
        <v>0.15</v>
      </c>
      <c r="AF18" s="3">
        <v>3.5999999999999997E-2</v>
      </c>
      <c r="AG18" s="3">
        <v>0.08</v>
      </c>
      <c r="AH18" s="3">
        <v>0.441</v>
      </c>
      <c r="AI18" s="3">
        <v>0.55899999999999994</v>
      </c>
    </row>
    <row r="19" spans="3:35" x14ac:dyDescent="0.3">
      <c r="C19" t="s">
        <v>22</v>
      </c>
      <c r="D19">
        <v>-0.8</v>
      </c>
      <c r="E19">
        <v>-3.2</v>
      </c>
      <c r="F19">
        <v>7.4</v>
      </c>
      <c r="G19">
        <v>1.9</v>
      </c>
      <c r="H19">
        <v>-4.9000000000000004</v>
      </c>
      <c r="I19">
        <f t="shared" si="0"/>
        <v>-2.4000000000000004</v>
      </c>
      <c r="J19">
        <f t="shared" si="1"/>
        <v>-1.1799999999999997</v>
      </c>
      <c r="K19">
        <f t="shared" si="2"/>
        <v>-1.2200000000000006</v>
      </c>
      <c r="L19">
        <f t="shared" si="3"/>
        <v>8.2000000000000011</v>
      </c>
      <c r="M19">
        <f t="shared" si="4"/>
        <v>10.87</v>
      </c>
      <c r="N19">
        <f t="shared" si="5"/>
        <v>-2.6699999999999982</v>
      </c>
      <c r="O19">
        <f t="shared" si="6"/>
        <v>10.600000000000001</v>
      </c>
      <c r="P19">
        <f t="shared" si="7"/>
        <v>12.049999999999999</v>
      </c>
      <c r="Q19">
        <f t="shared" si="8"/>
        <v>-1.4499999999999975</v>
      </c>
      <c r="R19">
        <f>G19-F19</f>
        <v>-5.5</v>
      </c>
      <c r="S19">
        <f t="shared" si="9"/>
        <v>-3.7</v>
      </c>
      <c r="T19">
        <f>R19-S19</f>
        <v>-1.7999999999999998</v>
      </c>
      <c r="U19">
        <f>H19-G19</f>
        <v>-6.8000000000000007</v>
      </c>
      <c r="V19">
        <f t="shared" si="10"/>
        <v>-4.0200000000000005</v>
      </c>
      <c r="W19">
        <f>U19-V19</f>
        <v>-2.7800000000000002</v>
      </c>
      <c r="X19">
        <f t="shared" si="11"/>
        <v>-1.7000000000000002</v>
      </c>
      <c r="Y19">
        <f t="shared" si="12"/>
        <v>4.3299999999999992</v>
      </c>
      <c r="Z19">
        <f t="shared" si="13"/>
        <v>-6.0299999999999994</v>
      </c>
      <c r="AA19">
        <f t="shared" si="14"/>
        <v>-12.3</v>
      </c>
      <c r="AB19">
        <f t="shared" si="15"/>
        <v>-7.7200000000000006</v>
      </c>
      <c r="AC19">
        <f t="shared" si="16"/>
        <v>-4.58</v>
      </c>
      <c r="AD19" s="3">
        <v>0.68700000000000006</v>
      </c>
      <c r="AE19" s="3">
        <v>0.16900000000000001</v>
      </c>
      <c r="AF19" s="3">
        <v>2.8000000000000001E-2</v>
      </c>
      <c r="AG19" s="3">
        <v>5.8999999999999997E-2</v>
      </c>
      <c r="AH19" s="3">
        <v>0.47799999999999998</v>
      </c>
      <c r="AI19" s="3">
        <v>0.52200000000000002</v>
      </c>
    </row>
    <row r="20" spans="3:35" x14ac:dyDescent="0.3">
      <c r="C20" t="s">
        <v>23</v>
      </c>
      <c r="D20">
        <v>9.6999999999999993</v>
      </c>
      <c r="E20">
        <v>7.1</v>
      </c>
      <c r="F20">
        <v>15.2</v>
      </c>
      <c r="G20">
        <v>9</v>
      </c>
      <c r="H20">
        <v>-1.1000000000000001</v>
      </c>
      <c r="I20">
        <f t="shared" si="0"/>
        <v>-2.5999999999999996</v>
      </c>
      <c r="J20">
        <f t="shared" si="1"/>
        <v>-1.1799999999999997</v>
      </c>
      <c r="K20">
        <f t="shared" si="2"/>
        <v>-1.42</v>
      </c>
      <c r="L20">
        <f t="shared" si="3"/>
        <v>5.5</v>
      </c>
      <c r="M20">
        <f t="shared" si="4"/>
        <v>10.87</v>
      </c>
      <c r="N20">
        <f t="shared" si="5"/>
        <v>-5.3699999999999992</v>
      </c>
      <c r="O20">
        <f t="shared" si="6"/>
        <v>8.1</v>
      </c>
      <c r="P20">
        <f t="shared" si="7"/>
        <v>12.049999999999999</v>
      </c>
      <c r="Q20">
        <f t="shared" si="8"/>
        <v>-3.9499999999999993</v>
      </c>
      <c r="R20">
        <f>G20-F20</f>
        <v>-6.1999999999999993</v>
      </c>
      <c r="S20">
        <f t="shared" si="9"/>
        <v>-3.7</v>
      </c>
      <c r="T20">
        <f>R20-S20</f>
        <v>-2.4999999999999991</v>
      </c>
      <c r="U20">
        <f>H20-G20</f>
        <v>-10.1</v>
      </c>
      <c r="V20">
        <f t="shared" si="10"/>
        <v>-4.0200000000000005</v>
      </c>
      <c r="W20">
        <f>U20-V20</f>
        <v>-6.0799999999999992</v>
      </c>
      <c r="X20">
        <f t="shared" si="11"/>
        <v>-8.1999999999999993</v>
      </c>
      <c r="Y20">
        <f t="shared" si="12"/>
        <v>4.3299999999999992</v>
      </c>
      <c r="Z20">
        <f t="shared" si="13"/>
        <v>-12.529999999999998</v>
      </c>
      <c r="AA20">
        <f t="shared" si="14"/>
        <v>-16.3</v>
      </c>
      <c r="AB20">
        <f t="shared" si="15"/>
        <v>-7.7200000000000006</v>
      </c>
      <c r="AC20">
        <f t="shared" si="16"/>
        <v>-8.58</v>
      </c>
      <c r="AD20" s="3">
        <v>0.755</v>
      </c>
      <c r="AE20" s="3">
        <v>9.2999999999999999E-2</v>
      </c>
      <c r="AF20" s="3">
        <v>5.0999999999999997E-2</v>
      </c>
      <c r="AG20" s="3">
        <v>0.05</v>
      </c>
      <c r="AH20" s="3">
        <v>0.57799999999999996</v>
      </c>
      <c r="AI20" s="3">
        <v>0.42200000000000004</v>
      </c>
    </row>
    <row r="21" spans="3:35" x14ac:dyDescent="0.3">
      <c r="C21" t="s">
        <v>24</v>
      </c>
      <c r="D21">
        <v>15.4</v>
      </c>
      <c r="E21">
        <v>13.3</v>
      </c>
      <c r="F21">
        <v>22.8</v>
      </c>
      <c r="G21" t="s">
        <v>14</v>
      </c>
      <c r="H21">
        <v>8.3000000000000007</v>
      </c>
      <c r="I21">
        <f t="shared" si="0"/>
        <v>-2.0999999999999996</v>
      </c>
      <c r="J21">
        <f t="shared" si="1"/>
        <v>-1.1799999999999997</v>
      </c>
      <c r="K21">
        <f t="shared" si="2"/>
        <v>-0.91999999999999993</v>
      </c>
      <c r="L21">
        <f t="shared" si="3"/>
        <v>7.4</v>
      </c>
      <c r="M21">
        <f t="shared" si="4"/>
        <v>10.87</v>
      </c>
      <c r="N21">
        <f t="shared" si="5"/>
        <v>-3.4699999999999989</v>
      </c>
      <c r="O21">
        <f t="shared" si="6"/>
        <v>9.5</v>
      </c>
      <c r="P21">
        <f t="shared" si="7"/>
        <v>12.049999999999999</v>
      </c>
      <c r="Q21">
        <f t="shared" si="8"/>
        <v>-2.5499999999999989</v>
      </c>
      <c r="R21" t="s">
        <v>13</v>
      </c>
      <c r="S21">
        <f t="shared" si="9"/>
        <v>-3.7</v>
      </c>
      <c r="T21" t="s">
        <v>13</v>
      </c>
      <c r="U21" t="s">
        <v>13</v>
      </c>
      <c r="V21">
        <f t="shared" si="10"/>
        <v>-4.0200000000000005</v>
      </c>
      <c r="W21" t="s">
        <v>13</v>
      </c>
      <c r="X21">
        <f t="shared" si="11"/>
        <v>-5</v>
      </c>
      <c r="Y21">
        <f t="shared" si="12"/>
        <v>4.3299999999999992</v>
      </c>
      <c r="Z21">
        <f t="shared" si="13"/>
        <v>-9.3299999999999983</v>
      </c>
      <c r="AA21">
        <f t="shared" si="14"/>
        <v>-14.5</v>
      </c>
      <c r="AB21">
        <f t="shared" si="15"/>
        <v>-7.7200000000000006</v>
      </c>
      <c r="AC21">
        <f t="shared" si="16"/>
        <v>-6.7799999999999994</v>
      </c>
      <c r="AD21" s="3">
        <v>0.59899999999999998</v>
      </c>
      <c r="AE21" s="3">
        <v>0.25800000000000001</v>
      </c>
      <c r="AF21" s="3">
        <v>2.1999999999999999E-2</v>
      </c>
      <c r="AG21" s="3">
        <v>6.4000000000000001E-2</v>
      </c>
      <c r="AH21" s="3">
        <v>0.46399999999999997</v>
      </c>
      <c r="AI21" s="3">
        <v>0.63600000000000001</v>
      </c>
    </row>
    <row r="22" spans="3:35" x14ac:dyDescent="0.3">
      <c r="C22" t="s">
        <v>25</v>
      </c>
      <c r="D22">
        <v>3</v>
      </c>
      <c r="E22">
        <v>-5.0999999999999996</v>
      </c>
      <c r="F22">
        <v>7.5</v>
      </c>
      <c r="G22">
        <v>5.8</v>
      </c>
      <c r="H22">
        <v>-6.6</v>
      </c>
      <c r="I22">
        <f t="shared" si="0"/>
        <v>-8.1</v>
      </c>
      <c r="J22">
        <f t="shared" si="1"/>
        <v>-1.1799999999999997</v>
      </c>
      <c r="K22">
        <f t="shared" si="2"/>
        <v>-6.92</v>
      </c>
      <c r="L22">
        <f t="shared" si="3"/>
        <v>4.5</v>
      </c>
      <c r="M22">
        <f t="shared" si="4"/>
        <v>10.87</v>
      </c>
      <c r="N22">
        <f t="shared" si="5"/>
        <v>-6.3699999999999992</v>
      </c>
      <c r="O22">
        <f t="shared" si="6"/>
        <v>12.6</v>
      </c>
      <c r="P22">
        <f t="shared" si="7"/>
        <v>12.049999999999999</v>
      </c>
      <c r="Q22">
        <f t="shared" si="8"/>
        <v>0.55000000000000071</v>
      </c>
      <c r="R22">
        <f t="shared" ref="R22:R28" si="17">G22-F22</f>
        <v>-1.7000000000000002</v>
      </c>
      <c r="S22">
        <f t="shared" si="9"/>
        <v>-3.7</v>
      </c>
      <c r="T22">
        <f t="shared" ref="T22:T28" si="18">R22-S22</f>
        <v>2</v>
      </c>
      <c r="U22">
        <f t="shared" ref="U22:U28" si="19">H22-G22</f>
        <v>-12.399999999999999</v>
      </c>
      <c r="V22">
        <f t="shared" si="10"/>
        <v>-4.0200000000000005</v>
      </c>
      <c r="W22">
        <f t="shared" ref="W22:W28" si="20">U22-V22</f>
        <v>-8.379999999999999</v>
      </c>
      <c r="X22">
        <f t="shared" si="11"/>
        <v>-1.5</v>
      </c>
      <c r="Y22">
        <f t="shared" si="12"/>
        <v>4.3299999999999992</v>
      </c>
      <c r="Z22">
        <f t="shared" si="13"/>
        <v>-5.8299999999999992</v>
      </c>
      <c r="AA22">
        <f t="shared" si="14"/>
        <v>-14.1</v>
      </c>
      <c r="AB22">
        <f t="shared" si="15"/>
        <v>-7.7200000000000006</v>
      </c>
      <c r="AC22">
        <f t="shared" si="16"/>
        <v>-6.379999999999999</v>
      </c>
      <c r="AD22" s="3">
        <v>0.47499999999999998</v>
      </c>
      <c r="AE22" s="3">
        <v>0.32700000000000001</v>
      </c>
      <c r="AF22" s="3">
        <v>2.8000000000000001E-2</v>
      </c>
      <c r="AG22" s="3">
        <v>0.113</v>
      </c>
      <c r="AH22" s="3">
        <v>0.26100000000000001</v>
      </c>
      <c r="AI22" s="3">
        <v>0.7390000000000001</v>
      </c>
    </row>
    <row r="23" spans="3:35" x14ac:dyDescent="0.3">
      <c r="C23" t="s">
        <v>26</v>
      </c>
      <c r="D23">
        <v>-12.9</v>
      </c>
      <c r="E23">
        <v>-10.7</v>
      </c>
      <c r="F23">
        <v>2.1</v>
      </c>
      <c r="G23">
        <v>0.3</v>
      </c>
      <c r="H23">
        <v>-4.2</v>
      </c>
      <c r="I23">
        <f t="shared" si="0"/>
        <v>2.2000000000000011</v>
      </c>
      <c r="J23">
        <f t="shared" si="1"/>
        <v>-1.1799999999999997</v>
      </c>
      <c r="K23">
        <f t="shared" si="2"/>
        <v>3.3800000000000008</v>
      </c>
      <c r="L23">
        <f t="shared" si="3"/>
        <v>15</v>
      </c>
      <c r="M23">
        <f t="shared" si="4"/>
        <v>10.87</v>
      </c>
      <c r="N23">
        <f t="shared" si="5"/>
        <v>4.1300000000000008</v>
      </c>
      <c r="O23">
        <f t="shared" si="6"/>
        <v>12.799999999999999</v>
      </c>
      <c r="P23">
        <f t="shared" si="7"/>
        <v>12.049999999999999</v>
      </c>
      <c r="Q23">
        <f t="shared" si="8"/>
        <v>0.75</v>
      </c>
      <c r="R23">
        <f t="shared" si="17"/>
        <v>-1.8</v>
      </c>
      <c r="S23">
        <f t="shared" si="9"/>
        <v>-3.7</v>
      </c>
      <c r="T23">
        <f t="shared" si="18"/>
        <v>1.9000000000000001</v>
      </c>
      <c r="U23">
        <f t="shared" si="19"/>
        <v>-4.5</v>
      </c>
      <c r="V23">
        <f t="shared" si="10"/>
        <v>-4.0200000000000005</v>
      </c>
      <c r="W23">
        <f t="shared" si="20"/>
        <v>-0.47999999999999954</v>
      </c>
      <c r="X23">
        <f t="shared" si="11"/>
        <v>6.4999999999999991</v>
      </c>
      <c r="Y23">
        <f t="shared" si="12"/>
        <v>4.3299999999999992</v>
      </c>
      <c r="Z23">
        <f t="shared" si="13"/>
        <v>2.17</v>
      </c>
      <c r="AA23">
        <f t="shared" si="14"/>
        <v>-6.3000000000000007</v>
      </c>
      <c r="AB23">
        <f t="shared" si="15"/>
        <v>-7.7200000000000006</v>
      </c>
      <c r="AC23">
        <f t="shared" si="16"/>
        <v>1.42</v>
      </c>
      <c r="AD23" s="3">
        <v>0.44400000000000001</v>
      </c>
      <c r="AE23" s="3">
        <v>0.45300000000000001</v>
      </c>
      <c r="AF23" s="3">
        <v>1.4E-2</v>
      </c>
      <c r="AG23" s="3">
        <v>4.9000000000000002E-2</v>
      </c>
      <c r="AH23" s="3">
        <v>0.24199999999999999</v>
      </c>
      <c r="AI23" s="3">
        <v>0.75800000000000001</v>
      </c>
    </row>
    <row r="24" spans="3:35" x14ac:dyDescent="0.3">
      <c r="C24" t="s">
        <v>27</v>
      </c>
      <c r="D24">
        <v>1.5</v>
      </c>
      <c r="E24">
        <v>2.2000000000000002</v>
      </c>
      <c r="F24">
        <v>13.6</v>
      </c>
      <c r="G24">
        <v>16.899999999999999</v>
      </c>
      <c r="H24">
        <v>7.9</v>
      </c>
      <c r="I24">
        <f t="shared" si="0"/>
        <v>0.70000000000000018</v>
      </c>
      <c r="J24">
        <f t="shared" si="1"/>
        <v>-1.1799999999999997</v>
      </c>
      <c r="K24">
        <f t="shared" si="2"/>
        <v>1.88</v>
      </c>
      <c r="L24">
        <f t="shared" si="3"/>
        <v>12.1</v>
      </c>
      <c r="M24">
        <f t="shared" si="4"/>
        <v>10.87</v>
      </c>
      <c r="N24">
        <f t="shared" si="5"/>
        <v>1.2300000000000004</v>
      </c>
      <c r="O24">
        <f t="shared" si="6"/>
        <v>11.399999999999999</v>
      </c>
      <c r="P24">
        <f t="shared" si="7"/>
        <v>12.049999999999999</v>
      </c>
      <c r="Q24">
        <f t="shared" si="8"/>
        <v>-0.65000000000000036</v>
      </c>
      <c r="R24">
        <f t="shared" si="17"/>
        <v>3.2999999999999989</v>
      </c>
      <c r="S24">
        <f t="shared" si="9"/>
        <v>-3.7</v>
      </c>
      <c r="T24">
        <f t="shared" si="18"/>
        <v>6.9999999999999991</v>
      </c>
      <c r="U24">
        <f t="shared" si="19"/>
        <v>-8.9999999999999982</v>
      </c>
      <c r="V24">
        <f t="shared" si="10"/>
        <v>-4.0200000000000005</v>
      </c>
      <c r="W24">
        <f t="shared" si="20"/>
        <v>-4.9799999999999978</v>
      </c>
      <c r="X24">
        <f t="shared" si="11"/>
        <v>5.7</v>
      </c>
      <c r="Y24">
        <f t="shared" si="12"/>
        <v>4.3299999999999992</v>
      </c>
      <c r="Z24">
        <f t="shared" si="13"/>
        <v>1.370000000000001</v>
      </c>
      <c r="AA24">
        <f t="shared" si="14"/>
        <v>-5.6999999999999993</v>
      </c>
      <c r="AB24">
        <f t="shared" si="15"/>
        <v>-7.7200000000000006</v>
      </c>
      <c r="AC24">
        <f t="shared" si="16"/>
        <v>2.0200000000000014</v>
      </c>
      <c r="AD24" s="3">
        <v>0.52</v>
      </c>
      <c r="AE24" s="3">
        <v>0.40799999999999997</v>
      </c>
      <c r="AF24" s="3">
        <v>8.9999999999999993E-3</v>
      </c>
      <c r="AG24" s="3">
        <v>2.8000000000000001E-2</v>
      </c>
      <c r="AH24" s="3">
        <v>0.21100000000000002</v>
      </c>
      <c r="AI24" s="3">
        <v>0.78900000000000003</v>
      </c>
    </row>
    <row r="25" spans="3:35" x14ac:dyDescent="0.3">
      <c r="C25" t="s">
        <v>28</v>
      </c>
      <c r="D25">
        <v>-0.6</v>
      </c>
      <c r="E25">
        <v>-3.2</v>
      </c>
      <c r="F25">
        <v>8.9</v>
      </c>
      <c r="G25">
        <v>12.9</v>
      </c>
      <c r="H25">
        <v>-1.6</v>
      </c>
      <c r="I25">
        <f t="shared" si="0"/>
        <v>-2.6</v>
      </c>
      <c r="J25">
        <f t="shared" si="1"/>
        <v>-1.1799999999999997</v>
      </c>
      <c r="K25">
        <f t="shared" si="2"/>
        <v>-1.4200000000000004</v>
      </c>
      <c r="L25">
        <f t="shared" si="3"/>
        <v>9.5</v>
      </c>
      <c r="M25">
        <f t="shared" si="4"/>
        <v>10.87</v>
      </c>
      <c r="N25">
        <f t="shared" si="5"/>
        <v>-1.3699999999999992</v>
      </c>
      <c r="O25">
        <f t="shared" si="6"/>
        <v>12.100000000000001</v>
      </c>
      <c r="P25">
        <f t="shared" si="7"/>
        <v>12.049999999999999</v>
      </c>
      <c r="Q25">
        <f t="shared" si="8"/>
        <v>5.0000000000002487E-2</v>
      </c>
      <c r="R25">
        <f t="shared" si="17"/>
        <v>4</v>
      </c>
      <c r="S25">
        <f t="shared" si="9"/>
        <v>-3.7</v>
      </c>
      <c r="T25">
        <f t="shared" si="18"/>
        <v>7.7</v>
      </c>
      <c r="U25">
        <f t="shared" si="19"/>
        <v>-14.5</v>
      </c>
      <c r="V25">
        <f t="shared" si="10"/>
        <v>-4.0200000000000005</v>
      </c>
      <c r="W25">
        <f t="shared" si="20"/>
        <v>-10.48</v>
      </c>
      <c r="X25">
        <f t="shared" si="11"/>
        <v>1.6</v>
      </c>
      <c r="Y25">
        <f t="shared" si="12"/>
        <v>4.3299999999999992</v>
      </c>
      <c r="Z25">
        <f t="shared" si="13"/>
        <v>-2.7299999999999991</v>
      </c>
      <c r="AA25">
        <f t="shared" si="14"/>
        <v>-10.5</v>
      </c>
      <c r="AB25">
        <f t="shared" si="15"/>
        <v>-7.7200000000000006</v>
      </c>
      <c r="AC25">
        <f t="shared" si="16"/>
        <v>-2.7799999999999994</v>
      </c>
      <c r="AD25" s="3">
        <v>0.58499999999999996</v>
      </c>
      <c r="AE25" s="3">
        <v>0.23400000000000001</v>
      </c>
      <c r="AF25" s="3">
        <v>4.2999999999999997E-2</v>
      </c>
      <c r="AG25" s="3">
        <v>6.4000000000000001E-2</v>
      </c>
      <c r="AH25" s="3">
        <v>0.36299999999999999</v>
      </c>
      <c r="AI25" s="3">
        <v>0.63700000000000001</v>
      </c>
    </row>
    <row r="26" spans="3:35" ht="13.2" customHeight="1" x14ac:dyDescent="0.3">
      <c r="C26" t="s">
        <v>29</v>
      </c>
      <c r="D26">
        <v>-5.5</v>
      </c>
      <c r="E26">
        <v>-2.7</v>
      </c>
      <c r="F26">
        <v>7.4</v>
      </c>
      <c r="G26">
        <v>1.8</v>
      </c>
      <c r="H26">
        <v>-3</v>
      </c>
      <c r="I26">
        <f t="shared" si="0"/>
        <v>2.8</v>
      </c>
      <c r="J26">
        <f t="shared" si="1"/>
        <v>-1.1799999999999997</v>
      </c>
      <c r="K26">
        <f t="shared" si="2"/>
        <v>3.9799999999999995</v>
      </c>
      <c r="L26">
        <f t="shared" si="3"/>
        <v>12.9</v>
      </c>
      <c r="M26">
        <f t="shared" si="4"/>
        <v>10.87</v>
      </c>
      <c r="N26">
        <f t="shared" si="5"/>
        <v>2.0300000000000011</v>
      </c>
      <c r="O26">
        <f t="shared" si="6"/>
        <v>10.100000000000001</v>
      </c>
      <c r="P26">
        <f t="shared" si="7"/>
        <v>12.049999999999999</v>
      </c>
      <c r="Q26">
        <f t="shared" si="8"/>
        <v>-1.9499999999999975</v>
      </c>
      <c r="R26">
        <f t="shared" si="17"/>
        <v>-5.6000000000000005</v>
      </c>
      <c r="S26">
        <f t="shared" si="9"/>
        <v>-3.7</v>
      </c>
      <c r="T26">
        <f t="shared" si="18"/>
        <v>-1.9000000000000004</v>
      </c>
      <c r="U26">
        <f t="shared" si="19"/>
        <v>-4.8</v>
      </c>
      <c r="V26">
        <f t="shared" si="10"/>
        <v>-4.0200000000000005</v>
      </c>
      <c r="W26">
        <f t="shared" si="20"/>
        <v>-0.77999999999999936</v>
      </c>
      <c r="X26">
        <f t="shared" si="11"/>
        <v>-0.29999999999999982</v>
      </c>
      <c r="Y26">
        <f t="shared" si="12"/>
        <v>4.3299999999999992</v>
      </c>
      <c r="Z26">
        <f t="shared" si="13"/>
        <v>-4.629999999999999</v>
      </c>
      <c r="AA26">
        <f t="shared" si="14"/>
        <v>-10.4</v>
      </c>
      <c r="AB26">
        <f t="shared" si="15"/>
        <v>-7.7200000000000006</v>
      </c>
      <c r="AC26">
        <f t="shared" si="16"/>
        <v>-2.6799999999999997</v>
      </c>
      <c r="AD26" s="3">
        <v>0.56699999999999995</v>
      </c>
      <c r="AE26" s="3">
        <v>0.28199999999999997</v>
      </c>
      <c r="AF26" s="3">
        <v>2.9000000000000001E-2</v>
      </c>
      <c r="AG26" s="3">
        <v>5.5E-2</v>
      </c>
      <c r="AH26" s="3">
        <v>0.36799999999999999</v>
      </c>
      <c r="AI26" s="3">
        <v>0.63200000000000001</v>
      </c>
    </row>
    <row r="27" spans="3:35" x14ac:dyDescent="0.3">
      <c r="C27" s="2" t="s">
        <v>30</v>
      </c>
      <c r="D27">
        <v>-9.3000000000000007</v>
      </c>
      <c r="E27">
        <v>-12.4</v>
      </c>
      <c r="F27">
        <v>2.1</v>
      </c>
      <c r="G27">
        <v>-4.8</v>
      </c>
      <c r="H27">
        <v>-7.8</v>
      </c>
      <c r="I27">
        <f t="shared" si="0"/>
        <v>-3.0999999999999996</v>
      </c>
      <c r="J27">
        <f t="shared" si="1"/>
        <v>-1.1799999999999997</v>
      </c>
      <c r="K27">
        <f t="shared" si="2"/>
        <v>-1.92</v>
      </c>
      <c r="L27">
        <f t="shared" si="3"/>
        <v>11.4</v>
      </c>
      <c r="M27">
        <f t="shared" si="4"/>
        <v>10.87</v>
      </c>
      <c r="N27">
        <f t="shared" si="5"/>
        <v>0.53000000000000114</v>
      </c>
      <c r="O27">
        <f t="shared" si="6"/>
        <v>14.5</v>
      </c>
      <c r="P27">
        <f t="shared" si="7"/>
        <v>12.049999999999999</v>
      </c>
      <c r="Q27">
        <f t="shared" si="8"/>
        <v>2.4500000000000011</v>
      </c>
      <c r="R27">
        <f t="shared" si="17"/>
        <v>-6.9</v>
      </c>
      <c r="S27">
        <f t="shared" si="9"/>
        <v>-3.7</v>
      </c>
      <c r="T27">
        <f t="shared" si="18"/>
        <v>-3.2</v>
      </c>
      <c r="U27">
        <f t="shared" si="19"/>
        <v>-3</v>
      </c>
      <c r="V27">
        <f t="shared" si="10"/>
        <v>-4.0200000000000005</v>
      </c>
      <c r="W27">
        <f t="shared" si="20"/>
        <v>1.0200000000000005</v>
      </c>
      <c r="X27">
        <f t="shared" si="11"/>
        <v>4.6000000000000005</v>
      </c>
      <c r="Y27">
        <f t="shared" si="12"/>
        <v>4.3299999999999992</v>
      </c>
      <c r="Z27">
        <f t="shared" si="13"/>
        <v>0.27000000000000135</v>
      </c>
      <c r="AA27">
        <f t="shared" si="14"/>
        <v>-9.9</v>
      </c>
      <c r="AB27">
        <f t="shared" si="15"/>
        <v>-7.7200000000000006</v>
      </c>
      <c r="AC27">
        <f t="shared" si="16"/>
        <v>-2.1799999999999997</v>
      </c>
      <c r="AD27" s="3">
        <v>0.55700000000000005</v>
      </c>
      <c r="AE27" s="3">
        <v>0.19800000000000001</v>
      </c>
      <c r="AF27" s="3">
        <v>7.1999999999999995E-2</v>
      </c>
      <c r="AG27" s="3">
        <v>9.2999999999999999E-2</v>
      </c>
      <c r="AH27" s="3">
        <v>0.34700000000000003</v>
      </c>
      <c r="AI27" s="3">
        <v>0.65300000000000002</v>
      </c>
    </row>
    <row r="28" spans="3:35" ht="15" customHeight="1" x14ac:dyDescent="0.3">
      <c r="C28" t="s">
        <v>31</v>
      </c>
      <c r="D28">
        <v>5.7</v>
      </c>
      <c r="E28">
        <v>4.3</v>
      </c>
      <c r="F28">
        <v>17.8</v>
      </c>
      <c r="G28">
        <v>14.7</v>
      </c>
      <c r="H28">
        <v>4.8</v>
      </c>
      <c r="I28">
        <f t="shared" si="0"/>
        <v>-1.4000000000000004</v>
      </c>
      <c r="J28">
        <f t="shared" si="1"/>
        <v>-1.1799999999999997</v>
      </c>
      <c r="K28">
        <f t="shared" si="2"/>
        <v>-0.22000000000000064</v>
      </c>
      <c r="L28">
        <f t="shared" si="3"/>
        <v>12.100000000000001</v>
      </c>
      <c r="M28">
        <f t="shared" si="4"/>
        <v>10.87</v>
      </c>
      <c r="N28">
        <f t="shared" si="5"/>
        <v>1.2300000000000022</v>
      </c>
      <c r="O28">
        <f t="shared" si="6"/>
        <v>13.5</v>
      </c>
      <c r="P28">
        <f t="shared" si="7"/>
        <v>12.049999999999999</v>
      </c>
      <c r="Q28">
        <f t="shared" si="8"/>
        <v>1.4500000000000011</v>
      </c>
      <c r="R28">
        <f t="shared" si="17"/>
        <v>-3.1000000000000014</v>
      </c>
      <c r="S28">
        <f t="shared" si="9"/>
        <v>-3.7</v>
      </c>
      <c r="T28">
        <f t="shared" si="18"/>
        <v>0.59999999999999876</v>
      </c>
      <c r="U28">
        <f t="shared" si="19"/>
        <v>-9.8999999999999986</v>
      </c>
      <c r="V28">
        <f t="shared" si="10"/>
        <v>-4.0200000000000005</v>
      </c>
      <c r="W28">
        <f t="shared" si="20"/>
        <v>-5.8799999999999981</v>
      </c>
      <c r="X28">
        <f t="shared" si="11"/>
        <v>0.5</v>
      </c>
      <c r="Y28">
        <f t="shared" si="12"/>
        <v>4.3299999999999992</v>
      </c>
      <c r="Z28">
        <f t="shared" si="13"/>
        <v>-3.8299999999999992</v>
      </c>
      <c r="AA28">
        <f t="shared" si="14"/>
        <v>-13</v>
      </c>
      <c r="AB28">
        <f t="shared" si="15"/>
        <v>-7.7200000000000006</v>
      </c>
      <c r="AC28">
        <f t="shared" si="16"/>
        <v>-5.2799999999999994</v>
      </c>
      <c r="AD28" s="3">
        <v>0.74299999999999999</v>
      </c>
      <c r="AE28" s="3">
        <v>9.4E-2</v>
      </c>
      <c r="AF28" s="3">
        <v>3.2000000000000001E-2</v>
      </c>
      <c r="AG28" s="3">
        <v>7.2999999999999995E-2</v>
      </c>
      <c r="AH28" s="3">
        <v>0.53400000000000003</v>
      </c>
      <c r="AI28" s="3">
        <v>0.46600000000000003</v>
      </c>
    </row>
  </sheetData>
  <autoFilter ref="C6:AI6" xr:uid="{06EE64EB-8580-4061-8104-431459DABD22}"/>
  <conditionalFormatting sqref="D7:Z28">
    <cfRule type="cellIs" dxfId="81" priority="10" operator="between">
      <formula>-7.01</formula>
      <formula>-12</formula>
    </cfRule>
    <cfRule type="cellIs" dxfId="80" priority="11" operator="between">
      <formula>-3.51</formula>
      <formula>-7</formula>
    </cfRule>
    <cfRule type="cellIs" dxfId="79" priority="12" operator="between">
      <formula>0</formula>
      <formula>-3.5</formula>
    </cfRule>
    <cfRule type="cellIs" dxfId="78" priority="13" operator="greaterThan">
      <formula>12</formula>
    </cfRule>
    <cfRule type="cellIs" dxfId="77" priority="14" operator="between">
      <formula>7.01</formula>
      <formula>12</formula>
    </cfRule>
    <cfRule type="cellIs" dxfId="76" priority="15" operator="between">
      <formula>3.51</formula>
      <formula>7</formula>
    </cfRule>
    <cfRule type="cellIs" dxfId="75" priority="16" operator="between">
      <formula>0</formula>
      <formula>3.5</formula>
    </cfRule>
  </conditionalFormatting>
  <conditionalFormatting sqref="D7:AC28">
    <cfRule type="cellIs" dxfId="74" priority="1" operator="lessThanOrEqual">
      <formula>-12</formula>
    </cfRule>
  </conditionalFormatting>
  <conditionalFormatting sqref="AA7:AC28">
    <cfRule type="cellIs" dxfId="73" priority="2" operator="between">
      <formula>-7</formula>
      <formula>-12</formula>
    </cfRule>
    <cfRule type="cellIs" dxfId="72" priority="3" operator="between">
      <formula>-3.5</formula>
      <formula>-7</formula>
    </cfRule>
    <cfRule type="cellIs" dxfId="71" priority="4" operator="between">
      <formula>0</formula>
      <formula>-3.5</formula>
    </cfRule>
    <cfRule type="cellIs" dxfId="70" priority="5" operator="greaterThanOrEqual">
      <formula>12</formula>
    </cfRule>
    <cfRule type="cellIs" dxfId="69" priority="6" operator="between">
      <formula>7</formula>
      <formula>12</formula>
    </cfRule>
    <cfRule type="cellIs" dxfId="68" priority="7" operator="between">
      <formula>3.5</formula>
      <formula>7</formula>
    </cfRule>
    <cfRule type="cellIs" dxfId="67" priority="8" operator="between">
      <formula>0</formula>
      <formula>3.5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C6C8-EAB3-4C72-B16C-3C52D6530483}">
  <dimension ref="C4:T28"/>
  <sheetViews>
    <sheetView topLeftCell="M1" workbookViewId="0">
      <selection activeCell="O6" sqref="O6:T6"/>
    </sheetView>
  </sheetViews>
  <sheetFormatPr defaultRowHeight="14.4" x14ac:dyDescent="0.3"/>
  <cols>
    <col min="3" max="3" width="14.109375" customWidth="1"/>
    <col min="4" max="4" width="15.6640625" customWidth="1"/>
    <col min="5" max="5" width="15.33203125" customWidth="1"/>
    <col min="6" max="6" width="20.6640625" customWidth="1"/>
    <col min="7" max="8" width="14.5546875" customWidth="1"/>
    <col min="9" max="9" width="19.6640625" customWidth="1"/>
    <col min="10" max="10" width="21.109375" customWidth="1"/>
    <col min="11" max="11" width="20.44140625" customWidth="1"/>
    <col min="12" max="12" width="23.5546875" customWidth="1"/>
    <col min="13" max="13" width="22.109375" customWidth="1"/>
    <col min="14" max="14" width="50.77734375" customWidth="1"/>
    <col min="15" max="15" width="16.109375" customWidth="1"/>
    <col min="16" max="16" width="14.88671875" customWidth="1"/>
    <col min="17" max="17" width="13.6640625" customWidth="1"/>
    <col min="18" max="18" width="16.21875" customWidth="1"/>
    <col min="19" max="19" width="14.6640625" customWidth="1"/>
    <col min="20" max="20" width="18.6640625" customWidth="1"/>
  </cols>
  <sheetData>
    <row r="4" spans="3:20" x14ac:dyDescent="0.3">
      <c r="F4" t="s">
        <v>60</v>
      </c>
      <c r="L4" s="6"/>
    </row>
    <row r="5" spans="3:20" x14ac:dyDescent="0.3">
      <c r="F5">
        <v>-12.27</v>
      </c>
    </row>
    <row r="6" spans="3:20" x14ac:dyDescent="0.3">
      <c r="C6" s="1" t="s">
        <v>1</v>
      </c>
      <c r="D6" s="1" t="s">
        <v>0</v>
      </c>
      <c r="E6" s="1" t="s">
        <v>2</v>
      </c>
      <c r="F6" s="1" t="s">
        <v>8</v>
      </c>
      <c r="G6" s="1" t="s">
        <v>3</v>
      </c>
      <c r="H6" s="1" t="s">
        <v>4</v>
      </c>
      <c r="I6" s="5" t="s">
        <v>68</v>
      </c>
      <c r="J6" s="5" t="s">
        <v>69</v>
      </c>
      <c r="K6" s="5" t="s">
        <v>70</v>
      </c>
      <c r="L6" s="5" t="s">
        <v>77</v>
      </c>
      <c r="M6" s="1" t="s">
        <v>78</v>
      </c>
      <c r="N6" s="1" t="s">
        <v>73</v>
      </c>
      <c r="O6" s="1" t="s">
        <v>51</v>
      </c>
      <c r="P6" s="1" t="s">
        <v>52</v>
      </c>
      <c r="Q6" s="1" t="s">
        <v>53</v>
      </c>
      <c r="R6" s="1" t="s">
        <v>54</v>
      </c>
      <c r="S6" s="1" t="s">
        <v>81</v>
      </c>
      <c r="T6" s="1" t="s">
        <v>82</v>
      </c>
    </row>
    <row r="7" spans="3:20" x14ac:dyDescent="0.3">
      <c r="C7" t="s">
        <v>32</v>
      </c>
      <c r="D7">
        <v>2.6</v>
      </c>
      <c r="E7">
        <v>5.6</v>
      </c>
      <c r="F7">
        <v>16.600000000000001</v>
      </c>
      <c r="G7">
        <v>19.399999999999999</v>
      </c>
      <c r="H7">
        <v>5.4</v>
      </c>
      <c r="I7" s="4">
        <f>(F7-E7)-'VA HoD Results'!P7</f>
        <v>-1.0499999999999972</v>
      </c>
      <c r="J7" s="4">
        <f>(H7-E7)-'VA HoD Results'!Y7</f>
        <v>-4.5299999999999985</v>
      </c>
      <c r="K7">
        <f>(H7-F7)-'VA HoD Results'!AB23</f>
        <v>-3.4800000000000004</v>
      </c>
      <c r="L7">
        <f>$F$5-'VA HoD Results'!$F$5</f>
        <v>-14.209999999999999</v>
      </c>
      <c r="M7" s="4">
        <f>AVERAGE(I7:K7)</f>
        <v>-3.0199999999999982</v>
      </c>
      <c r="N7" s="4">
        <f t="shared" ref="N7:N28" si="0">L7+M7+F7</f>
        <v>-0.62999999999999545</v>
      </c>
      <c r="O7" s="3">
        <v>0.63400000000000001</v>
      </c>
      <c r="P7" s="3">
        <v>0.19400000000000001</v>
      </c>
      <c r="Q7" s="3">
        <v>3.1E-2</v>
      </c>
      <c r="R7" s="3">
        <v>9.1999999999999998E-2</v>
      </c>
      <c r="S7" s="3">
        <v>0.35200000000000004</v>
      </c>
      <c r="T7" s="3">
        <v>0.64800000000000002</v>
      </c>
    </row>
    <row r="8" spans="3:20" x14ac:dyDescent="0.3">
      <c r="C8" t="s">
        <v>5</v>
      </c>
      <c r="D8">
        <v>0.6</v>
      </c>
      <c r="E8">
        <v>-5.4</v>
      </c>
      <c r="F8">
        <v>5.7</v>
      </c>
      <c r="G8">
        <v>4.5999999999999996</v>
      </c>
      <c r="H8">
        <v>-0.7</v>
      </c>
      <c r="I8" s="4">
        <f>(F8-E8)-'VA HoD Results'!P8</f>
        <v>-0.94999999999999751</v>
      </c>
      <c r="J8" s="4">
        <f>(H8-E8)-'VA HoD Results'!Y8</f>
        <v>0.37000000000000099</v>
      </c>
      <c r="K8">
        <f>(H8-F8)-'VA HoD Results'!AB16</f>
        <v>1.3200000000000003</v>
      </c>
      <c r="L8">
        <f>$F$5-'VA HoD Results'!$F$5</f>
        <v>-14.209999999999999</v>
      </c>
      <c r="M8" s="4">
        <f>AVERAGE(I8:K8)</f>
        <v>0.24666666666666792</v>
      </c>
      <c r="N8" s="4">
        <f t="shared" si="0"/>
        <v>-8.2633333333333319</v>
      </c>
      <c r="O8" s="3">
        <v>0.57999999999999996</v>
      </c>
      <c r="P8" s="3">
        <v>0.10100000000000001</v>
      </c>
      <c r="Q8" s="3">
        <v>0.109</v>
      </c>
      <c r="R8" s="3">
        <v>0.14099999999999999</v>
      </c>
      <c r="S8" s="3">
        <v>0.53</v>
      </c>
      <c r="T8" s="3">
        <v>0.47</v>
      </c>
    </row>
    <row r="9" spans="3:20" x14ac:dyDescent="0.3">
      <c r="C9" t="s">
        <v>9</v>
      </c>
      <c r="D9">
        <v>4</v>
      </c>
      <c r="E9">
        <v>-0.6</v>
      </c>
      <c r="F9">
        <v>13.5</v>
      </c>
      <c r="G9">
        <v>6.4</v>
      </c>
      <c r="H9">
        <v>1.2</v>
      </c>
      <c r="I9" s="4">
        <f>(F9-E9)-'VA HoD Results'!P9</f>
        <v>2.0500000000000007</v>
      </c>
      <c r="J9" s="4">
        <f>(H9-E9)-'VA HoD Results'!Y9</f>
        <v>-2.5299999999999994</v>
      </c>
      <c r="K9">
        <f>(H9-F9)-'VA HoD Results'!AB17</f>
        <v>-4.58</v>
      </c>
      <c r="L9">
        <f>$F$5-'VA HoD Results'!$F$5</f>
        <v>-14.209999999999999</v>
      </c>
      <c r="M9" s="4">
        <f>AVERAGE(I9*0.4, J9:K9)</f>
        <v>-2.0966666666666662</v>
      </c>
      <c r="N9" s="4">
        <f t="shared" si="0"/>
        <v>-2.8066666666666649</v>
      </c>
      <c r="O9" s="3">
        <v>0.72</v>
      </c>
      <c r="P9" s="3">
        <v>4.3999999999999997E-2</v>
      </c>
      <c r="Q9" s="3">
        <v>9.1999999999999998E-2</v>
      </c>
      <c r="R9" s="3">
        <v>8.3000000000000004E-2</v>
      </c>
      <c r="S9" s="3">
        <v>0.60299999999999998</v>
      </c>
      <c r="T9" s="3">
        <v>0.39700000000000002</v>
      </c>
    </row>
    <row r="10" spans="3:20" x14ac:dyDescent="0.3">
      <c r="C10" t="s">
        <v>10</v>
      </c>
      <c r="D10">
        <v>5.5</v>
      </c>
      <c r="E10">
        <v>4.2</v>
      </c>
      <c r="F10">
        <v>17.899999999999999</v>
      </c>
      <c r="G10">
        <v>13.8</v>
      </c>
      <c r="H10">
        <v>6.5</v>
      </c>
      <c r="I10" s="4">
        <f>(F10-E10)-'VA HoD Results'!P10</f>
        <v>1.6500000000000004</v>
      </c>
      <c r="J10" s="4">
        <f>(H10-E10)-'VA HoD Results'!Y10</f>
        <v>-2.0299999999999994</v>
      </c>
      <c r="K10">
        <f>(H10-F10)-'VA HoD Results'!AB24</f>
        <v>-3.6799999999999979</v>
      </c>
      <c r="L10">
        <f>$F$5-'VA HoD Results'!$F$5</f>
        <v>-14.209999999999999</v>
      </c>
      <c r="M10" s="4">
        <f>AVERAGE(J10:K10,L10*0.5)</f>
        <v>-4.2716666666666656</v>
      </c>
      <c r="N10" s="4">
        <f t="shared" si="0"/>
        <v>-0.581666666666667</v>
      </c>
      <c r="O10" s="3">
        <v>0.70299999999999996</v>
      </c>
      <c r="P10" s="3">
        <v>5.3999999999999999E-2</v>
      </c>
      <c r="Q10" s="3">
        <v>0.03</v>
      </c>
      <c r="R10" s="3">
        <v>0.17299999999999999</v>
      </c>
      <c r="S10" s="3">
        <v>0.34100000000000003</v>
      </c>
      <c r="T10" s="3">
        <v>0.65900000000000003</v>
      </c>
    </row>
    <row r="11" spans="3:20" x14ac:dyDescent="0.3">
      <c r="C11" t="s">
        <v>11</v>
      </c>
      <c r="D11">
        <v>-3.8</v>
      </c>
      <c r="E11">
        <v>0.8</v>
      </c>
      <c r="F11">
        <v>11</v>
      </c>
      <c r="G11">
        <v>0.7</v>
      </c>
      <c r="H11">
        <v>2.9</v>
      </c>
      <c r="I11" s="4">
        <f>(F11-E11)-'VA HoD Results'!P11</f>
        <v>-1.8499999999999996</v>
      </c>
      <c r="J11" s="4">
        <f>(H11-E11)-'VA HoD Results'!Y11</f>
        <v>-2.2299999999999995</v>
      </c>
      <c r="K11">
        <f>(H11-F11)-'VA HoD Results'!AB21</f>
        <v>-0.37999999999999901</v>
      </c>
      <c r="L11">
        <f>$F$5-'VA HoD Results'!$F$5</f>
        <v>-14.209999999999999</v>
      </c>
      <c r="M11" s="4">
        <f>AVERAGE(I11:K11)</f>
        <v>-1.4866666666666661</v>
      </c>
      <c r="N11" s="4">
        <f t="shared" si="0"/>
        <v>-4.6966666666666654</v>
      </c>
      <c r="O11" s="3">
        <v>0.78800000000000003</v>
      </c>
      <c r="P11" s="3">
        <v>3.2000000000000001E-2</v>
      </c>
      <c r="Q11" s="3">
        <v>9.2999999999999999E-2</v>
      </c>
      <c r="R11" s="3">
        <v>4.2000000000000003E-2</v>
      </c>
      <c r="S11" s="3">
        <v>0.48</v>
      </c>
      <c r="T11" s="3">
        <v>0.52</v>
      </c>
    </row>
    <row r="12" spans="3:20" x14ac:dyDescent="0.3">
      <c r="C12" t="s">
        <v>12</v>
      </c>
      <c r="D12">
        <v>10.3</v>
      </c>
      <c r="E12">
        <v>3.5</v>
      </c>
      <c r="F12">
        <v>19.5</v>
      </c>
      <c r="G12" t="s">
        <v>14</v>
      </c>
      <c r="H12">
        <v>8.3000000000000007</v>
      </c>
      <c r="I12" s="4">
        <f>(F12-E12)-'VA HoD Results'!P12</f>
        <v>3.9500000000000011</v>
      </c>
      <c r="J12" s="4">
        <f>(H12-E12)-'VA HoD Results'!Y12</f>
        <v>0.47000000000000153</v>
      </c>
      <c r="K12">
        <f>(H12-F12)-'VA HoD Results'!AB26</f>
        <v>-3.4799999999999986</v>
      </c>
      <c r="L12">
        <f>$F$5-'VA HoD Results'!$F$5</f>
        <v>-14.209999999999999</v>
      </c>
      <c r="M12" s="4">
        <f>AVERAGE(I12*0.5,J12,K12*0.5)</f>
        <v>0.2350000000000009</v>
      </c>
      <c r="N12" s="4">
        <f t="shared" si="0"/>
        <v>5.5250000000000021</v>
      </c>
      <c r="O12" s="3">
        <v>0.52200000000000002</v>
      </c>
      <c r="P12" s="3">
        <v>0.39900000000000002</v>
      </c>
      <c r="Q12" s="3">
        <v>0.01</v>
      </c>
      <c r="R12" s="3">
        <v>3.7999999999999999E-2</v>
      </c>
      <c r="S12" s="3">
        <v>0.185</v>
      </c>
      <c r="T12" s="3">
        <v>0.81499999999999995</v>
      </c>
    </row>
    <row r="13" spans="3:20" x14ac:dyDescent="0.3">
      <c r="C13" t="s">
        <v>16</v>
      </c>
      <c r="D13">
        <v>9.1</v>
      </c>
      <c r="E13">
        <v>2.2999999999999998</v>
      </c>
      <c r="F13">
        <v>15.9</v>
      </c>
      <c r="G13">
        <v>9</v>
      </c>
      <c r="H13">
        <v>11.7</v>
      </c>
      <c r="I13" s="4">
        <f>(F13-E13)-'VA HoD Results'!P13</f>
        <v>1.5500000000000025</v>
      </c>
      <c r="J13" s="4">
        <f>(H13-E13)-'VA HoD Results'!Y13</f>
        <v>5.0699999999999994</v>
      </c>
      <c r="K13">
        <f>(H13-F13)-'VA HoD Results'!AB28</f>
        <v>3.5199999999999996</v>
      </c>
      <c r="L13">
        <f>$F$5-'VA HoD Results'!$F$5</f>
        <v>-14.209999999999999</v>
      </c>
      <c r="M13" s="4">
        <f>AVERAGE(I13:K13)</f>
        <v>3.3800000000000003</v>
      </c>
      <c r="N13" s="4">
        <f t="shared" si="0"/>
        <v>5.0700000000000021</v>
      </c>
      <c r="O13" s="3">
        <v>0.61899999999999999</v>
      </c>
      <c r="P13" s="3">
        <v>0.253</v>
      </c>
      <c r="Q13" s="3">
        <v>2.1999999999999999E-2</v>
      </c>
      <c r="R13" s="3">
        <v>0.05</v>
      </c>
      <c r="S13" s="3">
        <v>0.38</v>
      </c>
      <c r="T13" s="3">
        <v>0.62</v>
      </c>
    </row>
    <row r="14" spans="3:20" x14ac:dyDescent="0.3">
      <c r="C14" t="s">
        <v>17</v>
      </c>
      <c r="D14">
        <v>1.3</v>
      </c>
      <c r="E14">
        <v>-5.4</v>
      </c>
      <c r="F14">
        <v>3.5</v>
      </c>
      <c r="G14">
        <v>2</v>
      </c>
      <c r="H14">
        <v>-9.4</v>
      </c>
      <c r="I14" s="4">
        <f>(F14-E14)-'VA HoD Results'!P14</f>
        <v>-3.1499999999999986</v>
      </c>
      <c r="J14" s="4">
        <f>(H14-E14)-'VA HoD Results'!Y14</f>
        <v>-8.3299999999999983</v>
      </c>
      <c r="K14">
        <f>(H14-F14)-'VA HoD Results'!AB8</f>
        <v>-5.18</v>
      </c>
      <c r="L14">
        <f>$F$5-'VA HoD Results'!$F$5</f>
        <v>-14.209999999999999</v>
      </c>
      <c r="M14" s="4">
        <f>AVERAGE(I14,J14,K14*0.4)</f>
        <v>-4.5173333333333323</v>
      </c>
      <c r="N14" s="4">
        <f t="shared" si="0"/>
        <v>-15.227333333333331</v>
      </c>
      <c r="O14" s="3">
        <v>0.61299999999999999</v>
      </c>
      <c r="P14" s="3">
        <v>8.5000000000000006E-2</v>
      </c>
      <c r="Q14" s="3">
        <v>0.20399999999999999</v>
      </c>
      <c r="R14" s="3">
        <v>4.9000000000000002E-2</v>
      </c>
      <c r="S14" s="3">
        <v>0.66799999999999993</v>
      </c>
      <c r="T14" s="3">
        <v>0.33200000000000002</v>
      </c>
    </row>
    <row r="15" spans="3:20" x14ac:dyDescent="0.3">
      <c r="C15" t="s">
        <v>18</v>
      </c>
      <c r="D15">
        <v>8.8000000000000007</v>
      </c>
      <c r="E15">
        <v>0.7</v>
      </c>
      <c r="F15">
        <v>13.8</v>
      </c>
      <c r="G15">
        <v>9</v>
      </c>
      <c r="H15">
        <v>1.9</v>
      </c>
      <c r="I15" s="4">
        <f>(F15-E15)-'VA HoD Results'!P15</f>
        <v>1.0500000000000025</v>
      </c>
      <c r="J15" s="4">
        <f>(H15-E15)-'VA HoD Results'!Y15</f>
        <v>-3.129999999999999</v>
      </c>
      <c r="K15">
        <f>(H15-F15)-'VA HoD Results'!AB19</f>
        <v>-4.18</v>
      </c>
      <c r="L15">
        <f>$F$5-'VA HoD Results'!$F$5</f>
        <v>-14.209999999999999</v>
      </c>
      <c r="M15" s="4">
        <f>AVERAGE(I15*0.4,J15,K15*0.5)</f>
        <v>-1.5999999999999994</v>
      </c>
      <c r="N15" s="4">
        <f t="shared" si="0"/>
        <v>-2.009999999999998</v>
      </c>
      <c r="O15" s="3">
        <v>0.55900000000000005</v>
      </c>
      <c r="P15" s="3">
        <v>0.184</v>
      </c>
      <c r="Q15" s="3">
        <v>3.7999999999999999E-2</v>
      </c>
      <c r="R15" s="3">
        <v>0.14299999999999999</v>
      </c>
      <c r="S15" s="3">
        <v>0.44500000000000001</v>
      </c>
      <c r="T15" s="3">
        <v>0.55500000000000005</v>
      </c>
    </row>
    <row r="16" spans="3:20" x14ac:dyDescent="0.3">
      <c r="C16" s="2" t="s">
        <v>19</v>
      </c>
      <c r="D16">
        <v>-4.4000000000000004</v>
      </c>
      <c r="E16">
        <v>-11.7</v>
      </c>
      <c r="F16">
        <v>2.8</v>
      </c>
      <c r="G16">
        <v>-6</v>
      </c>
      <c r="H16">
        <v>-9.5</v>
      </c>
      <c r="I16" s="4">
        <f>(F16-E16)-'VA HoD Results'!P16</f>
        <v>2.4500000000000011</v>
      </c>
      <c r="J16" s="4">
        <f>(H16-E16)-'VA HoD Results'!Y16</f>
        <v>-2.13</v>
      </c>
      <c r="K16">
        <f>(H16-F16)-'VA HoD Results'!AB7</f>
        <v>-4.58</v>
      </c>
      <c r="L16">
        <f>$F$5-'VA HoD Results'!$F$5</f>
        <v>-14.209999999999999</v>
      </c>
      <c r="M16" s="4">
        <f>AVERAGE(0.5*I16,J16:K16)</f>
        <v>-1.8283333333333331</v>
      </c>
      <c r="N16" s="4">
        <f t="shared" si="0"/>
        <v>-13.238333333333333</v>
      </c>
      <c r="O16" s="3">
        <v>0.58699999999999997</v>
      </c>
      <c r="P16" s="3">
        <v>0.17799999999999999</v>
      </c>
      <c r="Q16" s="3">
        <v>3.9E-2</v>
      </c>
      <c r="R16" s="3">
        <v>0.12</v>
      </c>
      <c r="S16" s="3">
        <v>0.42100000000000004</v>
      </c>
      <c r="T16" s="3">
        <v>0.57899999999999996</v>
      </c>
    </row>
    <row r="17" spans="3:20" x14ac:dyDescent="0.3">
      <c r="C17" t="s">
        <v>20</v>
      </c>
      <c r="D17">
        <v>2.5</v>
      </c>
      <c r="E17">
        <v>0.8</v>
      </c>
      <c r="F17">
        <v>12.6</v>
      </c>
      <c r="G17">
        <v>11.5</v>
      </c>
      <c r="H17">
        <v>2.4</v>
      </c>
      <c r="I17" s="4">
        <f>(F17-E17)-'VA HoD Results'!P17</f>
        <v>-0.25</v>
      </c>
      <c r="J17" s="4">
        <f>(H17-E17)-'VA HoD Results'!Y17</f>
        <v>-2.7299999999999995</v>
      </c>
      <c r="K17">
        <f>(H17-F17)-'VA HoD Results'!AB20</f>
        <v>-2.4799999999999986</v>
      </c>
      <c r="L17">
        <f>$F$5-'VA HoD Results'!$F$5</f>
        <v>-14.209999999999999</v>
      </c>
      <c r="M17" s="4">
        <f>AVERAGE(I17,J17,K17)</f>
        <v>-1.8199999999999994</v>
      </c>
      <c r="N17" s="4">
        <f t="shared" si="0"/>
        <v>-3.4299999999999979</v>
      </c>
      <c r="O17" s="3">
        <v>0.58899999999999997</v>
      </c>
      <c r="P17" s="3">
        <v>0.21199999999999999</v>
      </c>
      <c r="Q17" s="3">
        <v>2.5999999999999999E-2</v>
      </c>
      <c r="R17" s="3">
        <v>0.10100000000000001</v>
      </c>
      <c r="S17" s="3">
        <v>0.32100000000000001</v>
      </c>
      <c r="T17" s="3">
        <v>0.67799999999999994</v>
      </c>
    </row>
    <row r="18" spans="3:20" x14ac:dyDescent="0.3">
      <c r="C18" t="s">
        <v>21</v>
      </c>
      <c r="D18">
        <v>5</v>
      </c>
      <c r="E18">
        <v>1.8</v>
      </c>
      <c r="F18">
        <v>12.7</v>
      </c>
      <c r="G18" t="s">
        <v>14</v>
      </c>
      <c r="H18">
        <v>1.6</v>
      </c>
      <c r="I18" s="4">
        <f>(F18-E18)-'VA HoD Results'!P18</f>
        <v>-1.1500000000000004</v>
      </c>
      <c r="J18" s="4">
        <f>(H18-E18)-'VA HoD Results'!Y18</f>
        <v>-4.5299999999999994</v>
      </c>
      <c r="K18">
        <f>(H18-F18)-'VA HoD Results'!AB18</f>
        <v>-3.379999999999999</v>
      </c>
      <c r="L18">
        <f>$F$5-'VA HoD Results'!$F$5</f>
        <v>-14.209999999999999</v>
      </c>
      <c r="M18">
        <f>AVERAGE(I18,J18,K18*0.5)</f>
        <v>-2.4566666666666666</v>
      </c>
      <c r="N18" s="4">
        <f>L18+M18+F18</f>
        <v>-3.966666666666665</v>
      </c>
      <c r="O18" s="3">
        <v>0.67</v>
      </c>
      <c r="P18" s="3">
        <v>0.15</v>
      </c>
      <c r="Q18" s="3">
        <v>3.5999999999999997E-2</v>
      </c>
      <c r="R18" s="3">
        <v>0.08</v>
      </c>
      <c r="S18" s="3">
        <v>0.441</v>
      </c>
      <c r="T18" s="3">
        <v>0.55899999999999994</v>
      </c>
    </row>
    <row r="19" spans="3:20" x14ac:dyDescent="0.3">
      <c r="C19" t="s">
        <v>22</v>
      </c>
      <c r="D19">
        <v>-0.8</v>
      </c>
      <c r="E19">
        <v>-3.2</v>
      </c>
      <c r="F19">
        <v>7.4</v>
      </c>
      <c r="G19">
        <v>1.9</v>
      </c>
      <c r="H19">
        <v>-4.9000000000000004</v>
      </c>
      <c r="I19" s="4">
        <f>(F19-E19)-'VA HoD Results'!P19</f>
        <v>-1.4499999999999975</v>
      </c>
      <c r="J19" s="4">
        <f>(H19-E19)-'VA HoD Results'!Y19</f>
        <v>-6.0299999999999994</v>
      </c>
      <c r="K19">
        <f>(H19-F19)-'VA HoD Results'!AB11</f>
        <v>-4.58</v>
      </c>
      <c r="L19">
        <f>$F$5-'VA HoD Results'!$F$5</f>
        <v>-14.209999999999999</v>
      </c>
      <c r="M19" s="4">
        <f>AVERAGE(I19,J19,K19*0.4)</f>
        <v>-3.1039999999999992</v>
      </c>
      <c r="N19" s="4">
        <f t="shared" si="0"/>
        <v>-9.9139999999999997</v>
      </c>
      <c r="O19" s="3">
        <v>0.68700000000000006</v>
      </c>
      <c r="P19" s="3">
        <v>0.16900000000000001</v>
      </c>
      <c r="Q19" s="3">
        <v>2.8000000000000001E-2</v>
      </c>
      <c r="R19" s="3">
        <v>5.8999999999999997E-2</v>
      </c>
      <c r="S19" s="3">
        <v>0.47799999999999998</v>
      </c>
      <c r="T19" s="3">
        <v>0.52200000000000002</v>
      </c>
    </row>
    <row r="20" spans="3:20" x14ac:dyDescent="0.3">
      <c r="C20" t="s">
        <v>23</v>
      </c>
      <c r="D20">
        <v>9.6999999999999993</v>
      </c>
      <c r="E20">
        <v>7.1</v>
      </c>
      <c r="F20">
        <v>15.2</v>
      </c>
      <c r="G20">
        <v>9</v>
      </c>
      <c r="H20">
        <v>-1.1000000000000001</v>
      </c>
      <c r="I20" s="4">
        <f>(F20-E20)-'VA HoD Results'!P20</f>
        <v>-3.9499999999999993</v>
      </c>
      <c r="J20" s="4">
        <f>(H20-E20)-'VA HoD Results'!Y20</f>
        <v>-12.529999999999998</v>
      </c>
      <c r="K20">
        <f>(H20-F20)-'VA HoD Results'!AB15</f>
        <v>-8.58</v>
      </c>
      <c r="L20">
        <f>$F$5-'VA HoD Results'!$F$5</f>
        <v>-14.209999999999999</v>
      </c>
      <c r="M20" s="4">
        <f>AVERAGE(I20,J20,0.3*K20)</f>
        <v>-6.3513333333333319</v>
      </c>
      <c r="N20" s="4">
        <f t="shared" si="0"/>
        <v>-5.3613333333333308</v>
      </c>
      <c r="O20" s="3">
        <v>0.755</v>
      </c>
      <c r="P20" s="3">
        <v>9.2999999999999999E-2</v>
      </c>
      <c r="Q20" s="3">
        <v>5.0999999999999997E-2</v>
      </c>
      <c r="R20" s="3">
        <v>0.05</v>
      </c>
      <c r="S20" s="3">
        <v>0.57799999999999996</v>
      </c>
      <c r="T20" s="3">
        <v>0.42200000000000004</v>
      </c>
    </row>
    <row r="21" spans="3:20" x14ac:dyDescent="0.3">
      <c r="C21" t="s">
        <v>24</v>
      </c>
      <c r="D21">
        <v>15.4</v>
      </c>
      <c r="E21">
        <v>13.3</v>
      </c>
      <c r="F21">
        <v>22.8</v>
      </c>
      <c r="G21" t="s">
        <v>14</v>
      </c>
      <c r="H21">
        <v>8.3000000000000007</v>
      </c>
      <c r="I21" s="4">
        <f>(F21-E21)-'VA HoD Results'!P21</f>
        <v>-2.5499999999999989</v>
      </c>
      <c r="J21" s="4">
        <f>(H21-E21)-'VA HoD Results'!Y21</f>
        <v>-9.3299999999999983</v>
      </c>
      <c r="K21">
        <f>(H21-F21)-'VA HoD Results'!AB27</f>
        <v>-6.7799999999999994</v>
      </c>
      <c r="L21">
        <f>$F$5-'VA HoD Results'!$F$5</f>
        <v>-14.209999999999999</v>
      </c>
      <c r="M21" s="4">
        <f>AVERAGE(I21,J21,K21*0.4)</f>
        <v>-4.863999999999999</v>
      </c>
      <c r="N21" s="4">
        <f t="shared" si="0"/>
        <v>3.7260000000000026</v>
      </c>
      <c r="O21" s="3">
        <v>0.59899999999999998</v>
      </c>
      <c r="P21" s="3">
        <v>0.25800000000000001</v>
      </c>
      <c r="Q21" s="3">
        <v>2.1999999999999999E-2</v>
      </c>
      <c r="R21" s="3">
        <v>6.4000000000000001E-2</v>
      </c>
      <c r="S21" s="3">
        <v>0.46399999999999997</v>
      </c>
      <c r="T21" s="3">
        <v>0.63600000000000001</v>
      </c>
    </row>
    <row r="22" spans="3:20" x14ac:dyDescent="0.3">
      <c r="C22" t="s">
        <v>25</v>
      </c>
      <c r="D22">
        <v>3</v>
      </c>
      <c r="E22">
        <v>-5.0999999999999996</v>
      </c>
      <c r="F22">
        <v>7.5</v>
      </c>
      <c r="G22">
        <v>5.8</v>
      </c>
      <c r="H22">
        <v>-6.6</v>
      </c>
      <c r="I22" s="4">
        <f>(F22-E22)-'VA HoD Results'!P22</f>
        <v>0.55000000000000071</v>
      </c>
      <c r="J22" s="4">
        <f>(H22-E22)-'VA HoD Results'!Y22</f>
        <v>-5.8299999999999992</v>
      </c>
      <c r="K22">
        <f>(H22-F22)-'VA HoD Results'!AB10</f>
        <v>-6.379999999999999</v>
      </c>
      <c r="L22">
        <f>$F$5-'VA HoD Results'!$F$5</f>
        <v>-14.209999999999999</v>
      </c>
      <c r="M22" s="4">
        <f>AVERAGE(I22,J22,K22*0.4)</f>
        <v>-2.610666666666666</v>
      </c>
      <c r="N22" s="4">
        <f t="shared" si="0"/>
        <v>-9.3206666666666642</v>
      </c>
      <c r="O22" s="3">
        <v>0.47499999999999998</v>
      </c>
      <c r="P22" s="3">
        <v>0.32700000000000001</v>
      </c>
      <c r="Q22" s="3">
        <v>2.8000000000000001E-2</v>
      </c>
      <c r="R22" s="3">
        <v>0.113</v>
      </c>
      <c r="S22" s="3">
        <v>0.26100000000000001</v>
      </c>
      <c r="T22" s="3">
        <v>0.7390000000000001</v>
      </c>
    </row>
    <row r="23" spans="3:20" x14ac:dyDescent="0.3">
      <c r="C23" t="s">
        <v>26</v>
      </c>
      <c r="D23">
        <v>-12.9</v>
      </c>
      <c r="E23">
        <v>-10.7</v>
      </c>
      <c r="F23">
        <v>2.1</v>
      </c>
      <c r="G23">
        <v>0.3</v>
      </c>
      <c r="H23">
        <v>-4.2</v>
      </c>
      <c r="I23" s="4">
        <f>(F23-E23)-'VA HoD Results'!P23</f>
        <v>0.75</v>
      </c>
      <c r="J23" s="4">
        <f>(H23-E23)-'VA HoD Results'!Y23</f>
        <v>2.17</v>
      </c>
      <c r="K23">
        <f>(H23-F23)-'VA HoD Results'!AB12</f>
        <v>1.42</v>
      </c>
      <c r="L23">
        <f>$F$5-'VA HoD Results'!$F$5</f>
        <v>-14.209999999999999</v>
      </c>
      <c r="M23" s="4">
        <f>AVERAGE(I23,J23,K23)</f>
        <v>1.4466666666666665</v>
      </c>
      <c r="N23" s="4">
        <f t="shared" si="0"/>
        <v>-10.663333333333332</v>
      </c>
      <c r="O23" s="3">
        <v>0.44400000000000001</v>
      </c>
      <c r="P23" s="3">
        <v>0.45300000000000001</v>
      </c>
      <c r="Q23" s="3">
        <v>1.4E-2</v>
      </c>
      <c r="R23" s="3">
        <v>4.9000000000000002E-2</v>
      </c>
      <c r="S23" s="3">
        <v>0.24199999999999999</v>
      </c>
      <c r="T23" s="3">
        <v>0.75800000000000001</v>
      </c>
    </row>
    <row r="24" spans="3:20" x14ac:dyDescent="0.3">
      <c r="C24" t="s">
        <v>27</v>
      </c>
      <c r="D24">
        <v>1.5</v>
      </c>
      <c r="E24">
        <v>2.2000000000000002</v>
      </c>
      <c r="F24">
        <v>13.6</v>
      </c>
      <c r="G24">
        <v>16.899999999999999</v>
      </c>
      <c r="H24">
        <v>7.9</v>
      </c>
      <c r="I24" s="4">
        <f>(F24-E24)-'VA HoD Results'!P24</f>
        <v>-0.65000000000000036</v>
      </c>
      <c r="J24" s="4">
        <f>(H24-E24)-'VA HoD Results'!Y24</f>
        <v>1.370000000000001</v>
      </c>
      <c r="K24">
        <f>(H24-F24)-'VA HoD Results'!AB25</f>
        <v>2.0200000000000014</v>
      </c>
      <c r="L24">
        <f>$F$5-'VA HoD Results'!$F$5</f>
        <v>-14.209999999999999</v>
      </c>
      <c r="M24" s="4">
        <f>AVERAGE(I24:K24)</f>
        <v>0.913333333333334</v>
      </c>
      <c r="N24" s="4">
        <f t="shared" si="0"/>
        <v>0.30333333333333456</v>
      </c>
      <c r="O24" s="3">
        <v>0.52</v>
      </c>
      <c r="P24" s="3">
        <v>0.40799999999999997</v>
      </c>
      <c r="Q24" s="3">
        <v>8.9999999999999993E-3</v>
      </c>
      <c r="R24" s="3">
        <v>2.8000000000000001E-2</v>
      </c>
      <c r="S24" s="3">
        <v>0.21100000000000002</v>
      </c>
      <c r="T24" s="3">
        <v>0.78900000000000003</v>
      </c>
    </row>
    <row r="25" spans="3:20" x14ac:dyDescent="0.3">
      <c r="C25" t="s">
        <v>28</v>
      </c>
      <c r="D25">
        <v>-0.6</v>
      </c>
      <c r="E25">
        <v>-3.2</v>
      </c>
      <c r="F25">
        <v>8.9</v>
      </c>
      <c r="G25">
        <v>12.9</v>
      </c>
      <c r="H25">
        <v>-1.6</v>
      </c>
      <c r="I25" s="4">
        <f>(F25-E25)-'VA HoD Results'!P25</f>
        <v>5.0000000000002487E-2</v>
      </c>
      <c r="J25" s="4">
        <f>(H25-E25)-'VA HoD Results'!Y25</f>
        <v>-2.7299999999999991</v>
      </c>
      <c r="K25">
        <f>(H25-F25)-'VA HoD Results'!AB14</f>
        <v>-2.7799999999999994</v>
      </c>
      <c r="L25">
        <f>$F$5-'VA HoD Results'!$F$5</f>
        <v>-14.209999999999999</v>
      </c>
      <c r="M25">
        <f>AVERAGE(I25*0.4,J25,K25)</f>
        <v>-1.8299999999999992</v>
      </c>
      <c r="N25" s="4">
        <f t="shared" si="0"/>
        <v>-7.1399999999999988</v>
      </c>
      <c r="O25" s="3">
        <v>0.58499999999999996</v>
      </c>
      <c r="P25" s="3">
        <v>0.23400000000000001</v>
      </c>
      <c r="Q25" s="3">
        <v>4.2999999999999997E-2</v>
      </c>
      <c r="R25" s="3">
        <v>6.4000000000000001E-2</v>
      </c>
      <c r="S25" s="3">
        <v>0.36299999999999999</v>
      </c>
      <c r="T25" s="3">
        <v>0.63700000000000001</v>
      </c>
    </row>
    <row r="26" spans="3:20" x14ac:dyDescent="0.3">
      <c r="C26" t="s">
        <v>29</v>
      </c>
      <c r="D26">
        <v>-5.5</v>
      </c>
      <c r="E26">
        <v>-2.7</v>
      </c>
      <c r="F26">
        <v>7.4</v>
      </c>
      <c r="G26">
        <v>1.8</v>
      </c>
      <c r="H26">
        <v>-3</v>
      </c>
      <c r="I26" s="4">
        <f>(F26-E26)-'VA HoD Results'!P26</f>
        <v>-1.9499999999999975</v>
      </c>
      <c r="J26" s="4">
        <f>(H26-E26)-'VA HoD Results'!Y26</f>
        <v>-4.629999999999999</v>
      </c>
      <c r="K26">
        <f>(H26-F26)-'VA HoD Results'!AB13</f>
        <v>-2.6799999999999997</v>
      </c>
      <c r="L26">
        <f>$F$5-'VA HoD Results'!$F$5</f>
        <v>-14.209999999999999</v>
      </c>
      <c r="M26" s="4">
        <f>AVERAGE(I26,J26,K26*0.7)</f>
        <v>-2.8186666666666653</v>
      </c>
      <c r="N26" s="4">
        <f t="shared" si="0"/>
        <v>-9.6286666666666658</v>
      </c>
      <c r="O26" s="3">
        <v>0.56699999999999995</v>
      </c>
      <c r="P26" s="3">
        <v>0.28199999999999997</v>
      </c>
      <c r="Q26" s="3">
        <v>2.9000000000000001E-2</v>
      </c>
      <c r="R26" s="3">
        <v>5.5E-2</v>
      </c>
      <c r="S26" s="3">
        <v>0.36799999999999999</v>
      </c>
      <c r="T26" s="3">
        <v>0.63200000000000001</v>
      </c>
    </row>
    <row r="27" spans="3:20" x14ac:dyDescent="0.3">
      <c r="C27" s="2" t="s">
        <v>30</v>
      </c>
      <c r="D27">
        <v>-9.3000000000000007</v>
      </c>
      <c r="E27">
        <v>-12.4</v>
      </c>
      <c r="F27">
        <v>2.1</v>
      </c>
      <c r="G27">
        <v>-4.8</v>
      </c>
      <c r="H27">
        <v>-7.8</v>
      </c>
      <c r="I27" s="4">
        <f>(F27-E27)-'VA HoD Results'!P27</f>
        <v>2.4500000000000011</v>
      </c>
      <c r="J27" s="4">
        <f>(H27-E27)-'VA HoD Results'!Y27</f>
        <v>0.27000000000000135</v>
      </c>
      <c r="K27">
        <f>(H27-F27)-'VA HoD Results'!AB9</f>
        <v>-2.1799999999999997</v>
      </c>
      <c r="L27">
        <f>$F$5-'VA HoD Results'!$F$5</f>
        <v>-14.209999999999999</v>
      </c>
      <c r="M27" s="4">
        <f>AVERAGE(I27,J27,K27*0.4)</f>
        <v>0.61600000000000088</v>
      </c>
      <c r="N27" s="4">
        <f t="shared" si="0"/>
        <v>-11.493999999999998</v>
      </c>
      <c r="O27" s="3">
        <v>0.55700000000000005</v>
      </c>
      <c r="P27" s="3">
        <v>0.19800000000000001</v>
      </c>
      <c r="Q27" s="3">
        <v>7.1999999999999995E-2</v>
      </c>
      <c r="R27" s="3">
        <v>9.2999999999999999E-2</v>
      </c>
      <c r="S27" s="3">
        <v>0.34700000000000003</v>
      </c>
      <c r="T27" s="3">
        <v>0.65300000000000002</v>
      </c>
    </row>
    <row r="28" spans="3:20" x14ac:dyDescent="0.3">
      <c r="C28" t="s">
        <v>31</v>
      </c>
      <c r="D28">
        <v>5.7</v>
      </c>
      <c r="E28">
        <v>4.3</v>
      </c>
      <c r="F28">
        <v>17.8</v>
      </c>
      <c r="G28">
        <v>14.7</v>
      </c>
      <c r="H28">
        <v>4.8</v>
      </c>
      <c r="I28" s="4">
        <f>(F28-E28)-'VA HoD Results'!P28</f>
        <v>1.4500000000000011</v>
      </c>
      <c r="J28" s="4">
        <f>(H28-E28)-'VA HoD Results'!Y28</f>
        <v>-3.8299999999999992</v>
      </c>
      <c r="K28">
        <f>(H28-F28)-'VA HoD Results'!AB22</f>
        <v>-5.2799999999999994</v>
      </c>
      <c r="L28">
        <f>$F$5-'VA HoD Results'!$F$5</f>
        <v>-14.209999999999999</v>
      </c>
      <c r="M28" s="4">
        <f>AVERAGE(I28*0.4,J28,K28*0.4)</f>
        <v>-1.7873333333333328</v>
      </c>
      <c r="N28" s="4">
        <f t="shared" si="0"/>
        <v>1.8026666666666689</v>
      </c>
      <c r="O28" s="3">
        <v>0.74299999999999999</v>
      </c>
      <c r="P28" s="3">
        <v>9.4E-2</v>
      </c>
      <c r="Q28" s="3">
        <v>3.2000000000000001E-2</v>
      </c>
      <c r="R28" s="3">
        <v>7.2999999999999995E-2</v>
      </c>
      <c r="S28" s="3">
        <v>0.53400000000000003</v>
      </c>
      <c r="T28" s="3">
        <v>0.46600000000000003</v>
      </c>
    </row>
  </sheetData>
  <autoFilter ref="C6:T6" xr:uid="{9A09C6C8-EAB3-4C72-B16C-3C52D6530483}"/>
  <conditionalFormatting sqref="D7:H28">
    <cfRule type="cellIs" dxfId="66" priority="9" operator="lessThanOrEqual">
      <formula>-12</formula>
    </cfRule>
    <cfRule type="cellIs" dxfId="65" priority="10" operator="between">
      <formula>-7.01</formula>
      <formula>-12</formula>
    </cfRule>
    <cfRule type="cellIs" dxfId="64" priority="11" operator="between">
      <formula>-3.51</formula>
      <formula>-7</formula>
    </cfRule>
    <cfRule type="cellIs" dxfId="63" priority="12" operator="between">
      <formula>0</formula>
      <formula>-3.5</formula>
    </cfRule>
    <cfRule type="cellIs" dxfId="62" priority="13" operator="between">
      <formula>7.01</formula>
      <formula>12</formula>
    </cfRule>
    <cfRule type="cellIs" dxfId="61" priority="14" operator="between">
      <formula>3.51</formula>
      <formula>7</formula>
    </cfRule>
    <cfRule type="cellIs" dxfId="60" priority="15" operator="between">
      <formula>0</formula>
      <formula>3.5</formula>
    </cfRule>
  </conditionalFormatting>
  <conditionalFormatting sqref="D7:N28">
    <cfRule type="cellIs" dxfId="59" priority="5" operator="greaterThan">
      <formula>12</formula>
    </cfRule>
  </conditionalFormatting>
  <conditionalFormatting sqref="I7:N28">
    <cfRule type="cellIs" dxfId="58" priority="1" operator="lessThan">
      <formula>-12</formula>
    </cfRule>
    <cfRule type="cellIs" dxfId="57" priority="2" operator="between">
      <formula>-7</formula>
      <formula>-12</formula>
    </cfRule>
    <cfRule type="cellIs" dxfId="56" priority="3" operator="between">
      <formula>-3</formula>
      <formula>-7</formula>
    </cfRule>
    <cfRule type="cellIs" dxfId="55" priority="4" operator="between">
      <formula>0</formula>
      <formula>-3</formula>
    </cfRule>
    <cfRule type="cellIs" dxfId="54" priority="6" operator="between">
      <formula>5</formula>
      <formula>12</formula>
    </cfRule>
    <cfRule type="cellIs" dxfId="53" priority="7" operator="between">
      <formula>3</formula>
      <formula>5</formula>
    </cfRule>
    <cfRule type="cellIs" dxfId="52" priority="8" operator="between">
      <formula>0</formula>
      <formula>3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87C0-94A1-45A6-8004-78201A68EFB8}">
  <dimension ref="C4:O28"/>
  <sheetViews>
    <sheetView topLeftCell="F1" workbookViewId="0">
      <selection activeCell="N21" sqref="N21"/>
    </sheetView>
  </sheetViews>
  <sheetFormatPr defaultRowHeight="14.4" x14ac:dyDescent="0.3"/>
  <cols>
    <col min="3" max="3" width="13" customWidth="1"/>
    <col min="4" max="4" width="23" customWidth="1"/>
    <col min="5" max="5" width="21.33203125" customWidth="1"/>
    <col min="6" max="6" width="22.5546875" customWidth="1"/>
    <col min="7" max="7" width="15.88671875" customWidth="1"/>
    <col min="8" max="8" width="19.5546875" customWidth="1"/>
    <col min="9" max="9" width="14.109375" customWidth="1"/>
    <col min="14" max="14" width="67.33203125" customWidth="1"/>
  </cols>
  <sheetData>
    <row r="4" spans="3:15" x14ac:dyDescent="0.3">
      <c r="N4" t="s">
        <v>83</v>
      </c>
    </row>
    <row r="5" spans="3:15" x14ac:dyDescent="0.3">
      <c r="M5" t="s">
        <v>84</v>
      </c>
      <c r="N5" t="s">
        <v>95</v>
      </c>
      <c r="O5">
        <v>3</v>
      </c>
    </row>
    <row r="6" spans="3:15" x14ac:dyDescent="0.3">
      <c r="C6" s="1" t="s">
        <v>1</v>
      </c>
      <c r="D6" s="1" t="s">
        <v>8</v>
      </c>
      <c r="E6" s="1" t="s">
        <v>75</v>
      </c>
      <c r="F6" s="1" t="s">
        <v>74</v>
      </c>
      <c r="G6" s="1" t="s">
        <v>3</v>
      </c>
      <c r="H6" s="1" t="s">
        <v>76</v>
      </c>
      <c r="M6" t="s">
        <v>84</v>
      </c>
      <c r="N6" t="s">
        <v>91</v>
      </c>
      <c r="O6">
        <v>1.5</v>
      </c>
    </row>
    <row r="7" spans="3:15" x14ac:dyDescent="0.3">
      <c r="C7" t="s">
        <v>32</v>
      </c>
      <c r="D7">
        <v>16.600000000000001</v>
      </c>
      <c r="E7">
        <v>-2.7</v>
      </c>
      <c r="F7">
        <f t="shared" ref="F7:F28" si="0">D7+E7</f>
        <v>13.900000000000002</v>
      </c>
      <c r="G7">
        <v>19.399999999999999</v>
      </c>
      <c r="H7">
        <f>O5+O7+O14</f>
        <v>5.5</v>
      </c>
      <c r="M7" t="s">
        <v>84</v>
      </c>
      <c r="N7" t="s">
        <v>92</v>
      </c>
      <c r="O7">
        <v>1</v>
      </c>
    </row>
    <row r="8" spans="3:15" x14ac:dyDescent="0.3">
      <c r="C8" t="s">
        <v>5</v>
      </c>
      <c r="D8">
        <v>5.7</v>
      </c>
      <c r="E8">
        <v>-2.7</v>
      </c>
      <c r="F8">
        <f t="shared" si="0"/>
        <v>3</v>
      </c>
      <c r="G8">
        <v>4.5999999999999996</v>
      </c>
      <c r="H8">
        <f>O6+O10+O15</f>
        <v>1.5</v>
      </c>
      <c r="M8" t="s">
        <v>84</v>
      </c>
      <c r="N8" t="s">
        <v>85</v>
      </c>
      <c r="O8">
        <v>1.5</v>
      </c>
    </row>
    <row r="9" spans="3:15" x14ac:dyDescent="0.3">
      <c r="C9" t="s">
        <v>9</v>
      </c>
      <c r="D9">
        <v>13.5</v>
      </c>
      <c r="E9">
        <v>-2.7</v>
      </c>
      <c r="F9">
        <f t="shared" si="0"/>
        <v>10.8</v>
      </c>
      <c r="G9">
        <v>6.4</v>
      </c>
      <c r="H9">
        <f>O5+O10+O12</f>
        <v>1.5</v>
      </c>
      <c r="M9" t="s">
        <v>84</v>
      </c>
      <c r="N9" t="s">
        <v>86</v>
      </c>
      <c r="O9">
        <v>-2.5</v>
      </c>
    </row>
    <row r="10" spans="3:15" x14ac:dyDescent="0.3">
      <c r="C10" t="s">
        <v>10</v>
      </c>
      <c r="D10">
        <v>17.899999999999999</v>
      </c>
      <c r="E10">
        <v>-2.7</v>
      </c>
      <c r="F10">
        <f t="shared" si="0"/>
        <v>15.2</v>
      </c>
      <c r="G10">
        <v>13.8</v>
      </c>
      <c r="H10">
        <f>O5+O10+O12</f>
        <v>1.5</v>
      </c>
      <c r="M10" t="s">
        <v>84</v>
      </c>
      <c r="N10" t="s">
        <v>93</v>
      </c>
      <c r="O10">
        <v>-1</v>
      </c>
    </row>
    <row r="11" spans="3:15" x14ac:dyDescent="0.3">
      <c r="C11" t="s">
        <v>11</v>
      </c>
      <c r="D11">
        <v>11</v>
      </c>
      <c r="E11">
        <v>-2.7</v>
      </c>
      <c r="F11">
        <f t="shared" si="0"/>
        <v>8.3000000000000007</v>
      </c>
      <c r="G11">
        <v>0.7</v>
      </c>
      <c r="H11">
        <f>O5+O10+O12</f>
        <v>1.5</v>
      </c>
      <c r="M11" t="s">
        <v>84</v>
      </c>
      <c r="N11" t="s">
        <v>87</v>
      </c>
      <c r="O11">
        <v>-0.5</v>
      </c>
    </row>
    <row r="12" spans="3:15" x14ac:dyDescent="0.3">
      <c r="C12" t="s">
        <v>12</v>
      </c>
      <c r="D12">
        <v>19.5</v>
      </c>
      <c r="E12">
        <v>-2.7</v>
      </c>
      <c r="F12">
        <f t="shared" si="0"/>
        <v>16.8</v>
      </c>
      <c r="G12" t="s">
        <v>14</v>
      </c>
      <c r="H12">
        <f>O5+O7+O16</f>
        <v>6</v>
      </c>
      <c r="M12" t="s">
        <v>84</v>
      </c>
      <c r="N12" t="s">
        <v>94</v>
      </c>
      <c r="O12">
        <v>-0.5</v>
      </c>
    </row>
    <row r="13" spans="3:15" x14ac:dyDescent="0.3">
      <c r="C13" t="s">
        <v>16</v>
      </c>
      <c r="D13">
        <v>15.9</v>
      </c>
      <c r="E13">
        <v>-2.7</v>
      </c>
      <c r="F13">
        <f t="shared" si="0"/>
        <v>13.2</v>
      </c>
      <c r="G13">
        <v>9</v>
      </c>
      <c r="H13">
        <f>O5+O7+O14</f>
        <v>5.5</v>
      </c>
      <c r="M13" t="s">
        <v>84</v>
      </c>
      <c r="N13" t="s">
        <v>88</v>
      </c>
      <c r="O13">
        <v>-1</v>
      </c>
    </row>
    <row r="14" spans="3:15" x14ac:dyDescent="0.3">
      <c r="C14" t="s">
        <v>17</v>
      </c>
      <c r="D14">
        <v>3.5</v>
      </c>
      <c r="E14">
        <v>-2.7</v>
      </c>
      <c r="F14">
        <f t="shared" si="0"/>
        <v>0.79999999999999982</v>
      </c>
      <c r="G14">
        <v>2</v>
      </c>
      <c r="H14">
        <f>O6+O10+O15</f>
        <v>1.5</v>
      </c>
      <c r="M14" t="s">
        <v>84</v>
      </c>
      <c r="N14" t="s">
        <v>89</v>
      </c>
      <c r="O14">
        <v>1.5</v>
      </c>
    </row>
    <row r="15" spans="3:15" x14ac:dyDescent="0.3">
      <c r="C15" t="s">
        <v>18</v>
      </c>
      <c r="D15">
        <v>13.8</v>
      </c>
      <c r="E15">
        <v>-2.7</v>
      </c>
      <c r="F15">
        <f t="shared" si="0"/>
        <v>11.100000000000001</v>
      </c>
      <c r="G15">
        <v>9</v>
      </c>
      <c r="H15">
        <f>O5+O10+O12</f>
        <v>1.5</v>
      </c>
      <c r="M15" t="s">
        <v>84</v>
      </c>
      <c r="N15" t="s">
        <v>90</v>
      </c>
      <c r="O15">
        <v>1</v>
      </c>
    </row>
    <row r="16" spans="3:15" x14ac:dyDescent="0.3">
      <c r="C16" s="2" t="s">
        <v>19</v>
      </c>
      <c r="D16">
        <v>2.8</v>
      </c>
      <c r="E16">
        <v>-2.7</v>
      </c>
      <c r="F16">
        <f t="shared" si="0"/>
        <v>9.9999999999999645E-2</v>
      </c>
      <c r="G16">
        <v>-6</v>
      </c>
      <c r="H16">
        <f>O9+O10+O13</f>
        <v>-4.5</v>
      </c>
      <c r="M16" t="s">
        <v>84</v>
      </c>
      <c r="N16" t="s">
        <v>96</v>
      </c>
      <c r="O16">
        <v>2</v>
      </c>
    </row>
    <row r="17" spans="3:15" x14ac:dyDescent="0.3">
      <c r="C17" t="s">
        <v>20</v>
      </c>
      <c r="D17">
        <v>12.6</v>
      </c>
      <c r="E17">
        <v>-2.7</v>
      </c>
      <c r="F17">
        <f t="shared" si="0"/>
        <v>9.8999999999999986</v>
      </c>
      <c r="G17">
        <v>11.5</v>
      </c>
      <c r="H17">
        <f>O5+O10+O14</f>
        <v>3.5</v>
      </c>
      <c r="M17" t="s">
        <v>84</v>
      </c>
      <c r="N17" t="s">
        <v>97</v>
      </c>
      <c r="O17">
        <v>-2</v>
      </c>
    </row>
    <row r="18" spans="3:15" x14ac:dyDescent="0.3">
      <c r="C18" t="s">
        <v>21</v>
      </c>
      <c r="D18">
        <v>12.7</v>
      </c>
      <c r="E18">
        <v>-2.7</v>
      </c>
      <c r="F18">
        <f t="shared" si="0"/>
        <v>10</v>
      </c>
      <c r="G18" t="s">
        <v>14</v>
      </c>
      <c r="H18">
        <f>O5+O10+O16</f>
        <v>4</v>
      </c>
    </row>
    <row r="19" spans="3:15" x14ac:dyDescent="0.3">
      <c r="C19" t="s">
        <v>22</v>
      </c>
      <c r="D19">
        <v>7.4</v>
      </c>
      <c r="E19">
        <v>-2.7</v>
      </c>
      <c r="F19">
        <f t="shared" si="0"/>
        <v>4.7</v>
      </c>
      <c r="G19">
        <v>1.9</v>
      </c>
      <c r="H19">
        <f>O6+O10+O13</f>
        <v>-0.5</v>
      </c>
    </row>
    <row r="20" spans="3:15" x14ac:dyDescent="0.3">
      <c r="C20" t="s">
        <v>23</v>
      </c>
      <c r="D20">
        <v>15.2</v>
      </c>
      <c r="E20">
        <v>-2.7</v>
      </c>
      <c r="F20">
        <f t="shared" si="0"/>
        <v>12.5</v>
      </c>
      <c r="G20">
        <v>9</v>
      </c>
      <c r="H20">
        <f>O6+O10+O13</f>
        <v>-0.5</v>
      </c>
    </row>
    <row r="21" spans="3:15" x14ac:dyDescent="0.3">
      <c r="C21" t="s">
        <v>24</v>
      </c>
      <c r="D21">
        <v>22.8</v>
      </c>
      <c r="E21">
        <v>-2.7</v>
      </c>
      <c r="F21">
        <f t="shared" si="0"/>
        <v>20.100000000000001</v>
      </c>
      <c r="G21" t="s">
        <v>14</v>
      </c>
      <c r="H21">
        <f>O5+O7+O16</f>
        <v>6</v>
      </c>
    </row>
    <row r="22" spans="3:15" x14ac:dyDescent="0.3">
      <c r="C22" t="s">
        <v>25</v>
      </c>
      <c r="D22">
        <v>7.5</v>
      </c>
      <c r="E22">
        <v>-2.7</v>
      </c>
      <c r="F22">
        <f t="shared" si="0"/>
        <v>4.8</v>
      </c>
      <c r="G22">
        <v>5.8</v>
      </c>
      <c r="H22">
        <f>O6+O10+O15</f>
        <v>1.5</v>
      </c>
    </row>
    <row r="23" spans="3:15" x14ac:dyDescent="0.3">
      <c r="C23" t="s">
        <v>26</v>
      </c>
      <c r="D23">
        <v>2.1</v>
      </c>
      <c r="E23">
        <v>-2.7</v>
      </c>
      <c r="F23">
        <f t="shared" si="0"/>
        <v>-0.60000000000000009</v>
      </c>
      <c r="G23">
        <v>0.3</v>
      </c>
      <c r="H23">
        <f>O6+O10+O15</f>
        <v>1.5</v>
      </c>
    </row>
    <row r="24" spans="3:15" x14ac:dyDescent="0.3">
      <c r="C24" t="s">
        <v>27</v>
      </c>
      <c r="D24">
        <v>13.6</v>
      </c>
      <c r="E24">
        <v>-2.7</v>
      </c>
      <c r="F24">
        <f t="shared" si="0"/>
        <v>10.899999999999999</v>
      </c>
      <c r="G24">
        <v>16.899999999999999</v>
      </c>
      <c r="H24">
        <f>O5+O7+O14</f>
        <v>5.5</v>
      </c>
    </row>
    <row r="25" spans="3:15" x14ac:dyDescent="0.3">
      <c r="C25" t="s">
        <v>28</v>
      </c>
      <c r="D25">
        <v>8.9</v>
      </c>
      <c r="E25">
        <v>-2.7</v>
      </c>
      <c r="F25">
        <f t="shared" si="0"/>
        <v>6.2</v>
      </c>
      <c r="G25">
        <v>12.9</v>
      </c>
      <c r="H25">
        <f>O6+O10+O15+O17</f>
        <v>-0.5</v>
      </c>
    </row>
    <row r="26" spans="3:15" x14ac:dyDescent="0.3">
      <c r="C26" t="s">
        <v>29</v>
      </c>
      <c r="D26">
        <v>7.4</v>
      </c>
      <c r="E26">
        <v>-2.7</v>
      </c>
      <c r="F26">
        <f t="shared" si="0"/>
        <v>4.7</v>
      </c>
      <c r="G26">
        <v>1.8</v>
      </c>
      <c r="H26">
        <f>O11+O10</f>
        <v>-1.5</v>
      </c>
    </row>
    <row r="27" spans="3:15" x14ac:dyDescent="0.3">
      <c r="C27" s="2" t="s">
        <v>30</v>
      </c>
      <c r="D27">
        <v>2.1</v>
      </c>
      <c r="E27">
        <v>-2.7</v>
      </c>
      <c r="F27">
        <f t="shared" si="0"/>
        <v>-0.60000000000000009</v>
      </c>
      <c r="G27">
        <v>-4.8</v>
      </c>
      <c r="H27">
        <f>O9+O10+O13</f>
        <v>-4.5</v>
      </c>
    </row>
    <row r="28" spans="3:15" x14ac:dyDescent="0.3">
      <c r="C28" t="s">
        <v>31</v>
      </c>
      <c r="D28">
        <v>17.8</v>
      </c>
      <c r="E28">
        <v>-2.7</v>
      </c>
      <c r="F28">
        <f t="shared" si="0"/>
        <v>15.100000000000001</v>
      </c>
      <c r="G28">
        <v>14.7</v>
      </c>
      <c r="H28">
        <f>O5+O7+O12</f>
        <v>3.5</v>
      </c>
    </row>
  </sheetData>
  <autoFilter ref="C6:H28" xr:uid="{643387C0-94A1-45A6-8004-78201A68EFB8}"/>
  <conditionalFormatting sqref="D7:G28">
    <cfRule type="cellIs" dxfId="51" priority="8" operator="lessThanOrEqual">
      <formula>-12</formula>
    </cfRule>
    <cfRule type="cellIs" dxfId="50" priority="9" operator="between">
      <formula>-7.01</formula>
      <formula>-12</formula>
    </cfRule>
    <cfRule type="cellIs" dxfId="49" priority="10" operator="between">
      <formula>-3.51</formula>
      <formula>-7</formula>
    </cfRule>
    <cfRule type="cellIs" dxfId="48" priority="11" operator="between">
      <formula>0</formula>
      <formula>-3.5</formula>
    </cfRule>
    <cfRule type="cellIs" dxfId="47" priority="12" operator="greaterThan">
      <formula>12</formula>
    </cfRule>
    <cfRule type="cellIs" dxfId="46" priority="13" operator="between">
      <formula>7.01</formula>
      <formula>12</formula>
    </cfRule>
    <cfRule type="cellIs" dxfId="45" priority="14" operator="between">
      <formula>3.51</formula>
      <formula>7</formula>
    </cfRule>
    <cfRule type="cellIs" dxfId="44" priority="15" operator="between">
      <formula>0</formula>
      <formula>3.5</formula>
    </cfRule>
  </conditionalFormatting>
  <conditionalFormatting sqref="H7:H28">
    <cfRule type="containsBlanks" dxfId="43" priority="1">
      <formula>LEN(TRIM(H7))=0</formula>
    </cfRule>
    <cfRule type="cellIs" dxfId="42" priority="2" operator="between">
      <formula>-7</formula>
      <formula>-12</formula>
    </cfRule>
    <cfRule type="cellIs" dxfId="41" priority="3" operator="between">
      <formula>-3</formula>
      <formula>-7</formula>
    </cfRule>
    <cfRule type="cellIs" dxfId="40" priority="4" operator="between">
      <formula>0</formula>
      <formula>-3</formula>
    </cfRule>
    <cfRule type="cellIs" dxfId="39" priority="5" operator="between">
      <formula>7</formula>
      <formula>12</formula>
    </cfRule>
    <cfRule type="cellIs" dxfId="38" priority="6" operator="between">
      <formula>3</formula>
      <formula>7</formula>
    </cfRule>
    <cfRule type="cellIs" dxfId="37" priority="7" operator="between">
      <formula>0</formula>
      <formula>3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6235-F9AB-4584-99D4-73EEF30A148F}">
  <dimension ref="C6:O28"/>
  <sheetViews>
    <sheetView workbookViewId="0">
      <selection activeCell="P22" sqref="P22"/>
    </sheetView>
  </sheetViews>
  <sheetFormatPr defaultRowHeight="14.4" x14ac:dyDescent="0.3"/>
  <cols>
    <col min="3" max="3" width="12.5546875" customWidth="1"/>
    <col min="4" max="4" width="20.33203125" customWidth="1"/>
    <col min="5" max="5" width="28.77734375" customWidth="1"/>
    <col min="6" max="6" width="17.44140625" customWidth="1"/>
    <col min="7" max="7" width="17.109375" customWidth="1"/>
    <col min="8" max="9" width="18.21875" customWidth="1"/>
    <col min="10" max="10" width="10.5546875" customWidth="1"/>
    <col min="11" max="11" width="9.33203125" customWidth="1"/>
    <col min="12" max="12" width="12" customWidth="1"/>
    <col min="13" max="13" width="12.77734375" customWidth="1"/>
    <col min="14" max="14" width="13.44140625" customWidth="1"/>
    <col min="15" max="15" width="19.21875" customWidth="1"/>
  </cols>
  <sheetData>
    <row r="6" spans="3:15" x14ac:dyDescent="0.3">
      <c r="C6" s="1" t="s">
        <v>1</v>
      </c>
      <c r="D6" s="1" t="s">
        <v>79</v>
      </c>
      <c r="E6" s="1" t="s">
        <v>80</v>
      </c>
      <c r="F6" s="1" t="s">
        <v>2</v>
      </c>
      <c r="G6" s="1" t="s">
        <v>8</v>
      </c>
      <c r="H6" s="1" t="s">
        <v>4</v>
      </c>
      <c r="I6" s="1" t="s">
        <v>98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81</v>
      </c>
      <c r="O6" s="1" t="s">
        <v>82</v>
      </c>
    </row>
    <row r="7" spans="3:15" x14ac:dyDescent="0.3">
      <c r="C7" s="2" t="s">
        <v>19</v>
      </c>
      <c r="D7" s="4">
        <f>'HOD Swing Calculator ''21'!F16+'HOD Swing Calculator ''21'!L16+'HOD Swing Calculator ''21'!M16</f>
        <v>-13.238333333333333</v>
      </c>
      <c r="E7">
        <v>-4.5</v>
      </c>
      <c r="F7">
        <v>-11.7</v>
      </c>
      <c r="G7">
        <v>2.8</v>
      </c>
      <c r="H7">
        <v>-9.5</v>
      </c>
      <c r="I7" s="4">
        <f t="shared" ref="I7:I28" si="0">D7+E7</f>
        <v>-17.738333333333333</v>
      </c>
      <c r="J7" s="3">
        <v>0.58699999999999997</v>
      </c>
      <c r="K7" s="3">
        <v>0.17799999999999999</v>
      </c>
      <c r="L7" s="3">
        <v>3.9E-2</v>
      </c>
      <c r="M7" s="3">
        <v>0.12</v>
      </c>
      <c r="N7" s="3">
        <v>0.42100000000000004</v>
      </c>
      <c r="O7" s="3">
        <v>0.57899999999999996</v>
      </c>
    </row>
    <row r="8" spans="3:15" x14ac:dyDescent="0.3">
      <c r="C8" s="2" t="s">
        <v>30</v>
      </c>
      <c r="D8" s="4">
        <f>'HOD Swing Calculator ''21'!F27+'HOD Swing Calculator ''21'!L27+'HOD Swing Calculator ''21'!M27</f>
        <v>-11.493999999999998</v>
      </c>
      <c r="E8">
        <v>-4.5</v>
      </c>
      <c r="F8">
        <v>-12.4</v>
      </c>
      <c r="G8">
        <v>2.1</v>
      </c>
      <c r="H8">
        <v>-7.8</v>
      </c>
      <c r="I8" s="4">
        <f t="shared" si="0"/>
        <v>-15.993999999999998</v>
      </c>
      <c r="J8" s="3">
        <v>0.55700000000000005</v>
      </c>
      <c r="K8" s="3">
        <v>0.19800000000000001</v>
      </c>
      <c r="L8" s="3">
        <v>7.1999999999999995E-2</v>
      </c>
      <c r="M8" s="3">
        <v>9.2999999999999999E-2</v>
      </c>
      <c r="N8" s="3">
        <v>0.34700000000000003</v>
      </c>
      <c r="O8" s="3">
        <v>0.65300000000000002</v>
      </c>
    </row>
    <row r="9" spans="3:15" x14ac:dyDescent="0.3">
      <c r="C9" t="s">
        <v>17</v>
      </c>
      <c r="D9" s="4">
        <f>'HOD Swing Calculator ''21'!F14+'HOD Swing Calculator ''21'!L14+'HOD Swing Calculator ''21'!M14</f>
        <v>-15.227333333333331</v>
      </c>
      <c r="E9">
        <v>1.5</v>
      </c>
      <c r="F9">
        <v>-5.4</v>
      </c>
      <c r="G9">
        <v>3.5</v>
      </c>
      <c r="H9">
        <v>-9.4</v>
      </c>
      <c r="I9" s="4">
        <f t="shared" si="0"/>
        <v>-13.727333333333331</v>
      </c>
      <c r="J9" s="3">
        <v>0.61299999999999999</v>
      </c>
      <c r="K9" s="3">
        <v>8.5000000000000006E-2</v>
      </c>
      <c r="L9" s="3">
        <v>0.20399999999999999</v>
      </c>
      <c r="M9" s="3">
        <v>4.9000000000000002E-2</v>
      </c>
      <c r="N9" s="3">
        <v>0.66799999999999993</v>
      </c>
      <c r="O9" s="3">
        <v>0.33200000000000002</v>
      </c>
    </row>
    <row r="10" spans="3:15" x14ac:dyDescent="0.3">
      <c r="C10" t="s">
        <v>29</v>
      </c>
      <c r="D10" s="4">
        <f>'HOD Swing Calculator ''21'!F26+'HOD Swing Calculator ''21'!L26+'HOD Swing Calculator ''21'!M26</f>
        <v>-9.628666666666664</v>
      </c>
      <c r="E10">
        <v>-1.5</v>
      </c>
      <c r="F10">
        <v>-2.7</v>
      </c>
      <c r="G10">
        <v>7.4</v>
      </c>
      <c r="H10">
        <v>-3</v>
      </c>
      <c r="I10" s="4">
        <f t="shared" si="0"/>
        <v>-11.128666666666664</v>
      </c>
      <c r="J10" s="3">
        <v>0.56699999999999995</v>
      </c>
      <c r="K10" s="3">
        <v>0.28199999999999997</v>
      </c>
      <c r="L10" s="3">
        <v>2.9000000000000001E-2</v>
      </c>
      <c r="M10" s="3">
        <v>5.5E-2</v>
      </c>
      <c r="N10" s="3">
        <v>0.36799999999999999</v>
      </c>
      <c r="O10" s="3">
        <v>0.63200000000000001</v>
      </c>
    </row>
    <row r="11" spans="3:15" x14ac:dyDescent="0.3">
      <c r="C11" t="s">
        <v>22</v>
      </c>
      <c r="D11" s="4">
        <f>'HOD Swing Calculator ''21'!F19+'HOD Swing Calculator ''21'!L19+'HOD Swing Calculator ''21'!M19</f>
        <v>-9.9139999999999979</v>
      </c>
      <c r="E11">
        <v>-0.5</v>
      </c>
      <c r="F11">
        <v>-3.2</v>
      </c>
      <c r="G11">
        <v>7.4</v>
      </c>
      <c r="H11">
        <v>-4.9000000000000004</v>
      </c>
      <c r="I11" s="4">
        <f t="shared" si="0"/>
        <v>-10.413999999999998</v>
      </c>
      <c r="J11" s="3">
        <v>0.68700000000000006</v>
      </c>
      <c r="K11" s="3">
        <v>0.16900000000000001</v>
      </c>
      <c r="L11" s="3">
        <v>2.8000000000000001E-2</v>
      </c>
      <c r="M11" s="3">
        <v>5.8999999999999997E-2</v>
      </c>
      <c r="N11" s="3">
        <v>0.47799999999999998</v>
      </c>
      <c r="O11" s="3">
        <v>0.52200000000000002</v>
      </c>
    </row>
    <row r="12" spans="3:15" x14ac:dyDescent="0.3">
      <c r="C12" t="s">
        <v>26</v>
      </c>
      <c r="D12" s="4">
        <f>'HOD Swing Calculator ''21'!F23+'HOD Swing Calculator ''21'!L23+'HOD Swing Calculator ''21'!M23</f>
        <v>-10.663333333333332</v>
      </c>
      <c r="E12">
        <v>1.5</v>
      </c>
      <c r="F12">
        <v>-10.7</v>
      </c>
      <c r="G12">
        <v>2.1</v>
      </c>
      <c r="H12">
        <v>-4.2</v>
      </c>
      <c r="I12" s="4">
        <f t="shared" si="0"/>
        <v>-9.1633333333333322</v>
      </c>
      <c r="J12" s="3">
        <v>0.44400000000000001</v>
      </c>
      <c r="K12" s="3">
        <v>0.45300000000000001</v>
      </c>
      <c r="L12" s="3">
        <v>1.4E-2</v>
      </c>
      <c r="M12" s="3">
        <v>4.9000000000000002E-2</v>
      </c>
      <c r="N12" s="3">
        <v>0.24199999999999999</v>
      </c>
      <c r="O12" s="3">
        <v>0.75800000000000001</v>
      </c>
    </row>
    <row r="13" spans="3:15" x14ac:dyDescent="0.3">
      <c r="C13" t="s">
        <v>25</v>
      </c>
      <c r="D13" s="4">
        <f>'HOD Swing Calculator ''21'!F22+'HOD Swing Calculator ''21'!L22+'HOD Swing Calculator ''21'!M22</f>
        <v>-9.3206666666666642</v>
      </c>
      <c r="E13">
        <v>1.5</v>
      </c>
      <c r="F13">
        <v>-5.0999999999999996</v>
      </c>
      <c r="G13">
        <v>7.5</v>
      </c>
      <c r="H13">
        <v>-6.6</v>
      </c>
      <c r="I13" s="4">
        <f t="shared" si="0"/>
        <v>-7.8206666666666642</v>
      </c>
      <c r="J13" s="3">
        <v>0.47499999999999998</v>
      </c>
      <c r="K13" s="3">
        <v>0.32700000000000001</v>
      </c>
      <c r="L13" s="3">
        <v>2.8000000000000001E-2</v>
      </c>
      <c r="M13" s="3">
        <v>0.113</v>
      </c>
      <c r="N13" s="3">
        <v>0.26100000000000001</v>
      </c>
      <c r="O13" s="3">
        <v>0.7390000000000001</v>
      </c>
    </row>
    <row r="14" spans="3:15" x14ac:dyDescent="0.3">
      <c r="C14" t="s">
        <v>28</v>
      </c>
      <c r="D14" s="4">
        <f>'HOD Swing Calculator ''21'!F25+'HOD Swing Calculator ''21'!L25+'HOD Swing Calculator ''21'!M25</f>
        <v>-7.1399999999999979</v>
      </c>
      <c r="E14">
        <v>-0.5</v>
      </c>
      <c r="F14">
        <v>-3.2</v>
      </c>
      <c r="G14">
        <v>8.9</v>
      </c>
      <c r="H14">
        <v>-1.6</v>
      </c>
      <c r="I14" s="4">
        <f t="shared" si="0"/>
        <v>-7.6399999999999979</v>
      </c>
      <c r="J14" s="3">
        <v>0.58499999999999996</v>
      </c>
      <c r="K14" s="3">
        <v>0.23400000000000001</v>
      </c>
      <c r="L14" s="3">
        <v>4.2999999999999997E-2</v>
      </c>
      <c r="M14" s="3">
        <v>6.4000000000000001E-2</v>
      </c>
      <c r="N14" s="3">
        <v>0.36299999999999999</v>
      </c>
      <c r="O14" s="3">
        <v>0.63700000000000001</v>
      </c>
    </row>
    <row r="15" spans="3:15" x14ac:dyDescent="0.3">
      <c r="C15" t="s">
        <v>5</v>
      </c>
      <c r="D15" s="4">
        <f>'HOD Swing Calculator ''21'!F8+'HOD Swing Calculator ''21'!L8+'HOD Swing Calculator ''21'!M8</f>
        <v>-8.2633333333333301</v>
      </c>
      <c r="E15">
        <v>1.5</v>
      </c>
      <c r="F15">
        <v>-5.4</v>
      </c>
      <c r="G15">
        <v>5.7</v>
      </c>
      <c r="H15">
        <v>-0.7</v>
      </c>
      <c r="I15" s="4">
        <f t="shared" si="0"/>
        <v>-6.7633333333333301</v>
      </c>
      <c r="J15" s="3">
        <v>0.57999999999999996</v>
      </c>
      <c r="K15" s="3">
        <v>0.10100000000000001</v>
      </c>
      <c r="L15" s="3">
        <v>0.109</v>
      </c>
      <c r="M15" s="3">
        <v>0.14099999999999999</v>
      </c>
      <c r="N15" s="3">
        <v>0.53</v>
      </c>
      <c r="O15" s="3">
        <v>0.47</v>
      </c>
    </row>
    <row r="16" spans="3:15" x14ac:dyDescent="0.3">
      <c r="C16" t="s">
        <v>23</v>
      </c>
      <c r="D16" s="4">
        <f>'HOD Swing Calculator ''21'!F20+'HOD Swing Calculator ''21'!L20+'HOD Swing Calculator ''21'!M20</f>
        <v>-5.3613333333333317</v>
      </c>
      <c r="E16">
        <v>-0.5</v>
      </c>
      <c r="F16">
        <v>7.1</v>
      </c>
      <c r="G16">
        <v>15.2</v>
      </c>
      <c r="H16">
        <v>-1.1000000000000001</v>
      </c>
      <c r="I16" s="4">
        <f t="shared" si="0"/>
        <v>-5.8613333333333317</v>
      </c>
      <c r="J16" s="3">
        <v>0.755</v>
      </c>
      <c r="K16" s="3">
        <v>9.2999999999999999E-2</v>
      </c>
      <c r="L16" s="3">
        <v>5.0999999999999997E-2</v>
      </c>
      <c r="M16" s="3">
        <v>0.05</v>
      </c>
      <c r="N16" s="3">
        <v>0.57799999999999996</v>
      </c>
      <c r="O16" s="3">
        <v>0.42200000000000004</v>
      </c>
    </row>
    <row r="17" spans="3:15" x14ac:dyDescent="0.3">
      <c r="C17" t="s">
        <v>11</v>
      </c>
      <c r="D17" s="4">
        <f>'HOD Swing Calculator ''21'!F11+'HOD Swing Calculator ''21'!L11+'HOD Swing Calculator ''21'!M11</f>
        <v>-4.6966666666666654</v>
      </c>
      <c r="E17">
        <v>1.5</v>
      </c>
      <c r="F17">
        <v>0.8</v>
      </c>
      <c r="G17">
        <v>11</v>
      </c>
      <c r="H17">
        <v>2.9</v>
      </c>
      <c r="I17" s="4">
        <f t="shared" si="0"/>
        <v>-3.1966666666666654</v>
      </c>
      <c r="J17" s="3">
        <v>0.78800000000000003</v>
      </c>
      <c r="K17" s="3">
        <v>3.2000000000000001E-2</v>
      </c>
      <c r="L17" s="3">
        <v>9.2999999999999999E-2</v>
      </c>
      <c r="M17" s="3">
        <v>4.2000000000000003E-2</v>
      </c>
      <c r="N17" s="3">
        <v>0.48</v>
      </c>
      <c r="O17" s="3">
        <v>0.52</v>
      </c>
    </row>
    <row r="18" spans="3:15" x14ac:dyDescent="0.3">
      <c r="C18" t="s">
        <v>9</v>
      </c>
      <c r="D18" s="4">
        <f>'HOD Swing Calculator ''21'!F9+'HOD Swing Calculator ''21'!L9+'HOD Swing Calculator ''21'!M9</f>
        <v>-2.8066666666666653</v>
      </c>
      <c r="E18">
        <v>1.5</v>
      </c>
      <c r="F18">
        <v>-0.6</v>
      </c>
      <c r="G18">
        <v>13.5</v>
      </c>
      <c r="H18">
        <v>1.2</v>
      </c>
      <c r="I18" s="4">
        <f t="shared" si="0"/>
        <v>-1.3066666666666653</v>
      </c>
      <c r="J18" s="3">
        <v>0.72</v>
      </c>
      <c r="K18" s="3">
        <v>4.3999999999999997E-2</v>
      </c>
      <c r="L18" s="3">
        <v>9.1999999999999998E-2</v>
      </c>
      <c r="M18" s="3">
        <v>8.3000000000000004E-2</v>
      </c>
      <c r="N18" s="3">
        <v>0.60299999999999998</v>
      </c>
      <c r="O18" s="3">
        <v>0.39700000000000002</v>
      </c>
    </row>
    <row r="19" spans="3:15" x14ac:dyDescent="0.3">
      <c r="C19" t="s">
        <v>18</v>
      </c>
      <c r="D19" s="4">
        <f>'HOD Swing Calculator ''21'!F15+'HOD Swing Calculator ''21'!L15+'HOD Swing Calculator ''21'!M15</f>
        <v>-2.009999999999998</v>
      </c>
      <c r="E19">
        <v>1.5</v>
      </c>
      <c r="F19">
        <v>0.7</v>
      </c>
      <c r="G19">
        <v>13.8</v>
      </c>
      <c r="H19">
        <v>1.9</v>
      </c>
      <c r="I19" s="4">
        <f t="shared" si="0"/>
        <v>-0.50999999999999801</v>
      </c>
      <c r="J19" s="3">
        <v>0.55900000000000005</v>
      </c>
      <c r="K19" s="3">
        <v>0.184</v>
      </c>
      <c r="L19" s="3">
        <v>3.7999999999999999E-2</v>
      </c>
      <c r="M19" s="3">
        <v>0.14299999999999999</v>
      </c>
      <c r="N19" s="3">
        <v>0.44500000000000001</v>
      </c>
      <c r="O19" s="3">
        <v>0.55500000000000005</v>
      </c>
    </row>
    <row r="20" spans="3:15" x14ac:dyDescent="0.3">
      <c r="C20" t="s">
        <v>21</v>
      </c>
      <c r="D20" s="4">
        <f>'HOD Swing Calculator ''21'!F18+'HOD Swing Calculator ''21'!L18+'HOD Swing Calculator ''21'!M18</f>
        <v>-3.9666666666666663</v>
      </c>
      <c r="E20">
        <v>4</v>
      </c>
      <c r="F20">
        <v>1.8</v>
      </c>
      <c r="G20">
        <v>12.7</v>
      </c>
      <c r="H20">
        <v>1.6</v>
      </c>
      <c r="I20" s="4">
        <f t="shared" si="0"/>
        <v>3.3333333333333659E-2</v>
      </c>
      <c r="J20" s="3">
        <v>0.67</v>
      </c>
      <c r="K20" s="3">
        <v>0.15</v>
      </c>
      <c r="L20" s="3">
        <v>3.5999999999999997E-2</v>
      </c>
      <c r="M20" s="3">
        <v>0.08</v>
      </c>
      <c r="N20" s="3">
        <v>0.441</v>
      </c>
      <c r="O20" s="3">
        <v>0.55899999999999994</v>
      </c>
    </row>
    <row r="21" spans="3:15" x14ac:dyDescent="0.3">
      <c r="C21" t="s">
        <v>20</v>
      </c>
      <c r="D21" s="4">
        <f>'HOD Swing Calculator ''21'!F17+'HOD Swing Calculator ''21'!L17+'HOD Swing Calculator ''21'!M17</f>
        <v>-3.4299999999999988</v>
      </c>
      <c r="E21">
        <v>3.5</v>
      </c>
      <c r="F21">
        <v>0.8</v>
      </c>
      <c r="G21">
        <v>12.6</v>
      </c>
      <c r="H21">
        <v>2.4</v>
      </c>
      <c r="I21" s="4">
        <f t="shared" si="0"/>
        <v>7.0000000000001172E-2</v>
      </c>
      <c r="J21" s="3">
        <v>0.58899999999999997</v>
      </c>
      <c r="K21" s="3">
        <v>0.21199999999999999</v>
      </c>
      <c r="L21" s="3">
        <v>2.5999999999999999E-2</v>
      </c>
      <c r="M21" s="3">
        <v>0.10100000000000001</v>
      </c>
      <c r="N21" s="3">
        <v>0.32100000000000001</v>
      </c>
      <c r="O21" s="3">
        <v>0.67799999999999994</v>
      </c>
    </row>
    <row r="22" spans="3:15" x14ac:dyDescent="0.3">
      <c r="C22" t="s">
        <v>10</v>
      </c>
      <c r="D22" s="4">
        <f>'HOD Swing Calculator ''21'!F10+'HOD Swing Calculator ''21'!L10+'HOD Swing Calculator ''21'!M10</f>
        <v>-0.58166666666666611</v>
      </c>
      <c r="E22">
        <v>1.5</v>
      </c>
      <c r="F22">
        <v>4.2</v>
      </c>
      <c r="G22">
        <v>17.899999999999999</v>
      </c>
      <c r="H22">
        <v>6.5</v>
      </c>
      <c r="I22" s="4">
        <f t="shared" si="0"/>
        <v>0.91833333333333389</v>
      </c>
      <c r="J22" s="3">
        <v>0.70299999999999996</v>
      </c>
      <c r="K22" s="3">
        <v>5.3999999999999999E-2</v>
      </c>
      <c r="L22" s="3">
        <v>0.03</v>
      </c>
      <c r="M22" s="3">
        <v>0.17299999999999999</v>
      </c>
      <c r="N22" s="3">
        <v>0.34100000000000003</v>
      </c>
      <c r="O22" s="3">
        <v>0.65900000000000003</v>
      </c>
    </row>
    <row r="23" spans="3:15" x14ac:dyDescent="0.3">
      <c r="C23" t="s">
        <v>32</v>
      </c>
      <c r="D23" s="4">
        <f>'HOD Swing Calculator ''21'!F7+'HOD Swing Calculator ''21'!L7+'HOD Swing Calculator ''21'!M7</f>
        <v>-0.6299999999999959</v>
      </c>
      <c r="E23">
        <v>5.5</v>
      </c>
      <c r="F23">
        <v>5.6</v>
      </c>
      <c r="G23">
        <v>16.600000000000001</v>
      </c>
      <c r="H23">
        <v>5.4</v>
      </c>
      <c r="I23" s="4">
        <f t="shared" si="0"/>
        <v>4.8700000000000045</v>
      </c>
      <c r="J23" s="3">
        <v>0.63400000000000001</v>
      </c>
      <c r="K23" s="3">
        <v>0.19400000000000001</v>
      </c>
      <c r="L23" s="3">
        <v>3.1E-2</v>
      </c>
      <c r="M23" s="3">
        <v>9.1999999999999998E-2</v>
      </c>
      <c r="N23" s="3">
        <v>0.35200000000000004</v>
      </c>
      <c r="O23" s="3">
        <v>0.64800000000000002</v>
      </c>
    </row>
    <row r="24" spans="3:15" x14ac:dyDescent="0.3">
      <c r="C24" t="s">
        <v>31</v>
      </c>
      <c r="D24" s="4">
        <f>'HOD Swing Calculator ''21'!F28+'HOD Swing Calculator ''21'!L28+'HOD Swing Calculator ''21'!M28</f>
        <v>1.8026666666666689</v>
      </c>
      <c r="E24">
        <v>3.5</v>
      </c>
      <c r="F24">
        <v>4.3</v>
      </c>
      <c r="G24">
        <v>17.8</v>
      </c>
      <c r="H24">
        <v>4.8</v>
      </c>
      <c r="I24" s="4">
        <f t="shared" si="0"/>
        <v>5.3026666666666689</v>
      </c>
      <c r="J24" s="3">
        <v>0.74299999999999999</v>
      </c>
      <c r="K24" s="3">
        <v>9.4E-2</v>
      </c>
      <c r="L24" s="3">
        <v>3.2000000000000001E-2</v>
      </c>
      <c r="M24" s="3">
        <v>7.2999999999999995E-2</v>
      </c>
      <c r="N24" s="3">
        <v>0.53400000000000003</v>
      </c>
      <c r="O24" s="3">
        <v>0.46600000000000003</v>
      </c>
    </row>
    <row r="25" spans="3:15" x14ac:dyDescent="0.3">
      <c r="C25" t="s">
        <v>27</v>
      </c>
      <c r="D25" s="4">
        <f>'HOD Swing Calculator ''21'!F24+'HOD Swing Calculator ''21'!L24+'HOD Swing Calculator ''21'!M24</f>
        <v>0.30333333333333456</v>
      </c>
      <c r="E25">
        <v>5.5</v>
      </c>
      <c r="F25">
        <v>2.2000000000000002</v>
      </c>
      <c r="G25">
        <v>13.6</v>
      </c>
      <c r="H25">
        <v>7.9</v>
      </c>
      <c r="I25" s="4">
        <f t="shared" si="0"/>
        <v>5.8033333333333346</v>
      </c>
      <c r="J25" s="3">
        <v>0.52</v>
      </c>
      <c r="K25" s="3">
        <v>0.40799999999999997</v>
      </c>
      <c r="L25" s="3">
        <v>8.9999999999999993E-3</v>
      </c>
      <c r="M25" s="3">
        <v>2.8000000000000001E-2</v>
      </c>
      <c r="N25" s="3">
        <v>0.21100000000000002</v>
      </c>
      <c r="O25" s="3">
        <v>0.78900000000000003</v>
      </c>
    </row>
    <row r="26" spans="3:15" x14ac:dyDescent="0.3">
      <c r="C26" t="s">
        <v>24</v>
      </c>
      <c r="D26" s="4">
        <f>'HOD Swing Calculator ''21'!F21+'HOD Swing Calculator ''21'!L21+'HOD Swing Calculator ''21'!M21</f>
        <v>3.7260000000000026</v>
      </c>
      <c r="E26">
        <v>6</v>
      </c>
      <c r="F26">
        <v>13.3</v>
      </c>
      <c r="G26">
        <v>22.8</v>
      </c>
      <c r="H26">
        <v>8.3000000000000007</v>
      </c>
      <c r="I26" s="4">
        <f t="shared" si="0"/>
        <v>9.7260000000000026</v>
      </c>
      <c r="J26" s="3">
        <v>0.59899999999999998</v>
      </c>
      <c r="K26" s="3">
        <v>0.25800000000000001</v>
      </c>
      <c r="L26" s="3">
        <v>2.1999999999999999E-2</v>
      </c>
      <c r="M26" s="3">
        <v>6.4000000000000001E-2</v>
      </c>
      <c r="N26" s="3">
        <v>0.46399999999999997</v>
      </c>
      <c r="O26" s="3">
        <v>0.63600000000000001</v>
      </c>
    </row>
    <row r="27" spans="3:15" x14ac:dyDescent="0.3">
      <c r="C27" t="s">
        <v>16</v>
      </c>
      <c r="D27" s="4">
        <f>'HOD Swing Calculator ''21'!F13+'HOD Swing Calculator ''21'!L13+'HOD Swing Calculator ''21'!M13</f>
        <v>5.0700000000000021</v>
      </c>
      <c r="E27">
        <v>5.5</v>
      </c>
      <c r="F27">
        <v>2.2999999999999998</v>
      </c>
      <c r="G27">
        <v>15.9</v>
      </c>
      <c r="H27">
        <v>11.7</v>
      </c>
      <c r="I27" s="4">
        <f t="shared" si="0"/>
        <v>10.570000000000002</v>
      </c>
      <c r="J27" s="3">
        <v>0.61899999999999999</v>
      </c>
      <c r="K27" s="3">
        <v>0.253</v>
      </c>
      <c r="L27" s="3">
        <v>2.1999999999999999E-2</v>
      </c>
      <c r="M27" s="3">
        <v>0.05</v>
      </c>
      <c r="N27" s="3">
        <v>0.38</v>
      </c>
      <c r="O27" s="3">
        <v>0.62</v>
      </c>
    </row>
    <row r="28" spans="3:15" x14ac:dyDescent="0.3">
      <c r="C28" t="s">
        <v>12</v>
      </c>
      <c r="D28" s="4">
        <f>'HOD Swing Calculator ''21'!F12+'HOD Swing Calculator ''21'!L12+'HOD Swing Calculator ''21'!M12</f>
        <v>5.5250000000000021</v>
      </c>
      <c r="E28">
        <v>6</v>
      </c>
      <c r="F28">
        <v>3.5</v>
      </c>
      <c r="G28">
        <v>19.5</v>
      </c>
      <c r="H28">
        <v>8.3000000000000007</v>
      </c>
      <c r="I28" s="4">
        <f t="shared" si="0"/>
        <v>11.525000000000002</v>
      </c>
      <c r="J28" s="3">
        <v>0.52200000000000002</v>
      </c>
      <c r="K28" s="3">
        <v>0.39900000000000002</v>
      </c>
      <c r="L28" s="3">
        <v>0.01</v>
      </c>
      <c r="M28" s="3">
        <v>3.7999999999999999E-2</v>
      </c>
      <c r="N28" s="3">
        <v>0.185</v>
      </c>
      <c r="O28" s="3">
        <v>0.81499999999999995</v>
      </c>
    </row>
  </sheetData>
  <autoFilter ref="C6:O6" xr:uid="{0AA36235-F9AB-4584-99D4-73EEF30A148F}">
    <sortState xmlns:xlrd2="http://schemas.microsoft.com/office/spreadsheetml/2017/richdata2" ref="C7:O28">
      <sortCondition ref="I6"/>
    </sortState>
  </autoFilter>
  <conditionalFormatting sqref="D7:E28">
    <cfRule type="cellIs" dxfId="36" priority="33" operator="lessThan">
      <formula>-12</formula>
    </cfRule>
    <cfRule type="cellIs" dxfId="35" priority="34" operator="between">
      <formula>-7</formula>
      <formula>-12</formula>
    </cfRule>
    <cfRule type="cellIs" dxfId="34" priority="35" operator="between">
      <formula>-3</formula>
      <formula>-7</formula>
    </cfRule>
    <cfRule type="cellIs" dxfId="33" priority="36" operator="between">
      <formula>0</formula>
      <formula>-3</formula>
    </cfRule>
    <cfRule type="cellIs" dxfId="32" priority="38" operator="between">
      <formula>7</formula>
      <formula>12</formula>
    </cfRule>
    <cfRule type="cellIs" dxfId="31" priority="39" operator="between">
      <formula>3</formula>
      <formula>7</formula>
    </cfRule>
    <cfRule type="cellIs" dxfId="30" priority="40" operator="between">
      <formula>0</formula>
      <formula>3</formula>
    </cfRule>
  </conditionalFormatting>
  <conditionalFormatting sqref="D7:I28">
    <cfRule type="cellIs" dxfId="29" priority="1" operator="greaterThan">
      <formula>12</formula>
    </cfRule>
  </conditionalFormatting>
  <conditionalFormatting sqref="F7:H28">
    <cfRule type="cellIs" dxfId="28" priority="2" operator="lessThanOrEqual">
      <formula>-12</formula>
    </cfRule>
    <cfRule type="cellIs" dxfId="27" priority="3" operator="between">
      <formula>-7.01</formula>
      <formula>-12</formula>
    </cfRule>
    <cfRule type="cellIs" dxfId="26" priority="4" operator="between">
      <formula>-3.51</formula>
      <formula>-7</formula>
    </cfRule>
    <cfRule type="cellIs" dxfId="25" priority="5" operator="between">
      <formula>0</formula>
      <formula>-3.5</formula>
    </cfRule>
    <cfRule type="cellIs" dxfId="24" priority="6" operator="between">
      <formula>7.01</formula>
      <formula>12</formula>
    </cfRule>
    <cfRule type="cellIs" dxfId="23" priority="7" operator="between">
      <formula>3.51</formula>
      <formula>7</formula>
    </cfRule>
    <cfRule type="cellIs" dxfId="22" priority="8" operator="between">
      <formula>0</formula>
      <formula>3.5</formula>
    </cfRule>
  </conditionalFormatting>
  <conditionalFormatting sqref="I7:I28">
    <cfRule type="cellIs" dxfId="21" priority="25" operator="lessThan">
      <formula>-12</formula>
    </cfRule>
    <cfRule type="cellIs" dxfId="20" priority="26" operator="between">
      <formula>-7</formula>
      <formula>-12</formula>
    </cfRule>
    <cfRule type="cellIs" dxfId="19" priority="27" operator="between">
      <formula>-3</formula>
      <formula>-7</formula>
    </cfRule>
    <cfRule type="cellIs" dxfId="18" priority="28" operator="between">
      <formula>0</formula>
      <formula>-3</formula>
    </cfRule>
    <cfRule type="cellIs" dxfId="17" priority="30" operator="between">
      <formula>7</formula>
      <formula>12</formula>
    </cfRule>
    <cfRule type="cellIs" dxfId="16" priority="31" operator="between">
      <formula>3</formula>
      <formula>7</formula>
    </cfRule>
    <cfRule type="cellIs" dxfId="15" priority="32" operator="between">
      <formula>0</formula>
      <formula>3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990B-FE9E-4067-A0FC-C2D55F2D33BD}">
  <dimension ref="C3:C4"/>
  <sheetViews>
    <sheetView tabSelected="1" workbookViewId="0">
      <selection activeCell="C4" sqref="C4"/>
    </sheetView>
  </sheetViews>
  <sheetFormatPr defaultRowHeight="14.4" x14ac:dyDescent="0.3"/>
  <sheetData>
    <row r="3" spans="3:3" x14ac:dyDescent="0.3">
      <c r="C3" t="s">
        <v>102</v>
      </c>
    </row>
    <row r="4" spans="3:3" x14ac:dyDescent="0.3">
      <c r="C4" s="7" t="s">
        <v>101</v>
      </c>
    </row>
  </sheetData>
  <hyperlinks>
    <hyperlink ref="C4" r:id="rId1" xr:uid="{80534659-FF58-4CF0-A98B-DC6ACBE6A50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766F-9E5F-4C35-BAF5-9DAA42D9BAE9}">
  <dimension ref="B2"/>
  <sheetViews>
    <sheetView workbookViewId="0">
      <selection activeCell="K31" sqref="K31"/>
    </sheetView>
  </sheetViews>
  <sheetFormatPr defaultRowHeight="14.4" x14ac:dyDescent="0.3"/>
  <sheetData>
    <row r="2" spans="2:2" x14ac:dyDescent="0.3">
      <c r="B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247C-8A52-4A7E-AC61-F0098C1EA17F}">
  <dimension ref="C4:T28"/>
  <sheetViews>
    <sheetView workbookViewId="0">
      <selection activeCell="G4" sqref="G4"/>
    </sheetView>
  </sheetViews>
  <sheetFormatPr defaultRowHeight="14.4" x14ac:dyDescent="0.3"/>
  <cols>
    <col min="3" max="3" width="13" customWidth="1"/>
    <col min="4" max="4" width="19.77734375" customWidth="1"/>
    <col min="5" max="5" width="21.44140625" customWidth="1"/>
    <col min="6" max="6" width="20.21875" customWidth="1"/>
    <col min="7" max="7" width="20.109375" customWidth="1"/>
    <col min="8" max="8" width="20" customWidth="1"/>
    <col min="9" max="9" width="21.77734375" customWidth="1"/>
    <col min="10" max="10" width="23.44140625" customWidth="1"/>
    <col min="11" max="11" width="23.6640625" customWidth="1"/>
    <col min="12" max="12" width="21.109375" customWidth="1"/>
    <col min="13" max="13" width="21" customWidth="1"/>
    <col min="14" max="14" width="53.109375" customWidth="1"/>
    <col min="15" max="15" width="12.5546875" customWidth="1"/>
    <col min="16" max="17" width="12.88671875" customWidth="1"/>
    <col min="18" max="18" width="12.77734375" customWidth="1"/>
    <col min="19" max="19" width="12.109375" customWidth="1"/>
    <col min="20" max="20" width="18.33203125" customWidth="1"/>
  </cols>
  <sheetData>
    <row r="4" spans="3:20" x14ac:dyDescent="0.3">
      <c r="F4" t="s">
        <v>60</v>
      </c>
      <c r="L4" s="6"/>
    </row>
    <row r="5" spans="3:20" x14ac:dyDescent="0.3">
      <c r="F5">
        <v>-12.27</v>
      </c>
      <c r="N5" t="s">
        <v>99</v>
      </c>
    </row>
    <row r="6" spans="3:20" x14ac:dyDescent="0.3">
      <c r="C6" s="1" t="s">
        <v>1</v>
      </c>
      <c r="D6" s="1" t="s">
        <v>0</v>
      </c>
      <c r="E6" s="1" t="s">
        <v>2</v>
      </c>
      <c r="F6" s="1" t="s">
        <v>8</v>
      </c>
      <c r="G6" s="1" t="s">
        <v>3</v>
      </c>
      <c r="H6" s="1" t="s">
        <v>4</v>
      </c>
      <c r="I6" s="5" t="s">
        <v>68</v>
      </c>
      <c r="J6" s="5" t="s">
        <v>69</v>
      </c>
      <c r="K6" s="5" t="s">
        <v>70</v>
      </c>
      <c r="L6" s="5" t="s">
        <v>72</v>
      </c>
      <c r="M6" s="1" t="s">
        <v>71</v>
      </c>
      <c r="N6" s="1" t="s">
        <v>73</v>
      </c>
      <c r="O6" s="1" t="s">
        <v>51</v>
      </c>
      <c r="P6" s="1" t="s">
        <v>52</v>
      </c>
      <c r="Q6" s="1" t="s">
        <v>53</v>
      </c>
      <c r="R6" s="1" t="s">
        <v>54</v>
      </c>
      <c r="S6" s="1" t="s">
        <v>81</v>
      </c>
      <c r="T6" s="1" t="s">
        <v>82</v>
      </c>
    </row>
    <row r="7" spans="3:20" x14ac:dyDescent="0.3">
      <c r="C7" t="s">
        <v>32</v>
      </c>
      <c r="D7">
        <v>2.6</v>
      </c>
      <c r="E7">
        <v>5.6</v>
      </c>
      <c r="F7">
        <v>16.600000000000001</v>
      </c>
      <c r="G7">
        <v>19.399999999999999</v>
      </c>
      <c r="H7">
        <v>5.4</v>
      </c>
      <c r="I7" s="4">
        <f>(F7-E7)-'VA HoD Results'!P7</f>
        <v>-1.0499999999999972</v>
      </c>
      <c r="J7" s="4">
        <f>(H7-E7)-'VA HoD Results'!Y7</f>
        <v>-4.5299999999999985</v>
      </c>
      <c r="K7">
        <f>(H7-F7)-'VA HoD Results'!AB23</f>
        <v>-3.4800000000000004</v>
      </c>
      <c r="L7">
        <f>'HOD Swing Calculator ''24'!$F$5-'VA HoD Results'!$H$5</f>
        <v>-6.4899999999999993</v>
      </c>
      <c r="M7" s="4">
        <f>AVERAGE(I7:K7)</f>
        <v>-3.0199999999999982</v>
      </c>
      <c r="N7" s="4">
        <f t="shared" ref="N7:N28" si="0">L7+M7+H7</f>
        <v>-4.1099999999999977</v>
      </c>
      <c r="O7" s="3">
        <v>0.63400000000000001</v>
      </c>
      <c r="P7" s="3">
        <v>0.19400000000000001</v>
      </c>
      <c r="Q7" s="3">
        <v>3.1E-2</v>
      </c>
      <c r="R7" s="3">
        <v>9.1999999999999998E-2</v>
      </c>
      <c r="S7" s="3">
        <v>0.35200000000000004</v>
      </c>
      <c r="T7" s="3">
        <v>0.64800000000000002</v>
      </c>
    </row>
    <row r="8" spans="3:20" x14ac:dyDescent="0.3">
      <c r="C8" t="s">
        <v>5</v>
      </c>
      <c r="D8">
        <v>0.6</v>
      </c>
      <c r="E8">
        <v>-5.4</v>
      </c>
      <c r="F8">
        <v>5.7</v>
      </c>
      <c r="G8">
        <v>4.5999999999999996</v>
      </c>
      <c r="H8">
        <v>-0.7</v>
      </c>
      <c r="I8" s="4">
        <f>(F8-E8)-'VA HoD Results'!P8</f>
        <v>-0.94999999999999751</v>
      </c>
      <c r="J8" s="4">
        <f>(H8-E8)-'VA HoD Results'!Y8</f>
        <v>0.37000000000000099</v>
      </c>
      <c r="K8">
        <f>(H8-F8)-'VA HoD Results'!AB16</f>
        <v>1.3200000000000003</v>
      </c>
      <c r="L8">
        <f>'HOD Swing Calculator ''24'!$F$5-'VA HoD Results'!$H$5</f>
        <v>-6.4899999999999993</v>
      </c>
      <c r="M8" s="4">
        <f>AVERAGE(I8:K8)</f>
        <v>0.24666666666666792</v>
      </c>
      <c r="N8" s="4">
        <f t="shared" si="0"/>
        <v>-6.9433333333333316</v>
      </c>
      <c r="O8" s="3">
        <v>0.57999999999999996</v>
      </c>
      <c r="P8" s="3">
        <v>0.10100000000000001</v>
      </c>
      <c r="Q8" s="3">
        <v>0.109</v>
      </c>
      <c r="R8" s="3">
        <v>0.14099999999999999</v>
      </c>
      <c r="S8" s="3">
        <v>0.53</v>
      </c>
      <c r="T8" s="3">
        <v>0.47</v>
      </c>
    </row>
    <row r="9" spans="3:20" x14ac:dyDescent="0.3">
      <c r="C9" t="s">
        <v>9</v>
      </c>
      <c r="D9">
        <v>4</v>
      </c>
      <c r="E9">
        <v>-0.6</v>
      </c>
      <c r="F9">
        <v>13.5</v>
      </c>
      <c r="G9">
        <v>6.4</v>
      </c>
      <c r="H9">
        <v>1.2</v>
      </c>
      <c r="I9" s="4">
        <f>(F9-E9)-'VA HoD Results'!P9</f>
        <v>2.0500000000000007</v>
      </c>
      <c r="J9" s="4">
        <f>(H9-E9)-'VA HoD Results'!Y9</f>
        <v>-2.5299999999999994</v>
      </c>
      <c r="K9">
        <f>(H9-F9)-'VA HoD Results'!AB17</f>
        <v>-4.58</v>
      </c>
      <c r="L9">
        <f>'HOD Swing Calculator ''24'!$F$5-'VA HoD Results'!$H$5</f>
        <v>-6.4899999999999993</v>
      </c>
      <c r="M9" s="4">
        <f>AVERAGE(I9*0.4, J9:K9)</f>
        <v>-2.0966666666666662</v>
      </c>
      <c r="N9" s="4">
        <f t="shared" si="0"/>
        <v>-7.3866666666666658</v>
      </c>
      <c r="O9" s="3">
        <v>0.72</v>
      </c>
      <c r="P9" s="3">
        <v>4.3999999999999997E-2</v>
      </c>
      <c r="Q9" s="3">
        <v>9.1999999999999998E-2</v>
      </c>
      <c r="R9" s="3">
        <v>8.3000000000000004E-2</v>
      </c>
      <c r="S9" s="3">
        <v>0.60299999999999998</v>
      </c>
      <c r="T9" s="3">
        <v>0.39700000000000002</v>
      </c>
    </row>
    <row r="10" spans="3:20" x14ac:dyDescent="0.3">
      <c r="C10" t="s">
        <v>10</v>
      </c>
      <c r="D10">
        <v>5.5</v>
      </c>
      <c r="E10">
        <v>4.2</v>
      </c>
      <c r="F10">
        <v>17.899999999999999</v>
      </c>
      <c r="G10">
        <v>13.8</v>
      </c>
      <c r="H10">
        <v>6.5</v>
      </c>
      <c r="I10" s="4">
        <f>(F10-E10)-'VA HoD Results'!P10</f>
        <v>1.6500000000000004</v>
      </c>
      <c r="J10" s="4">
        <f>(H10-E10)-'VA HoD Results'!Y10</f>
        <v>-2.0299999999999994</v>
      </c>
      <c r="K10">
        <f>(H10-F10)-'VA HoD Results'!AB24</f>
        <v>-3.6799999999999979</v>
      </c>
      <c r="L10">
        <f>'HOD Swing Calculator ''24'!$F$5-'VA HoD Results'!$H$5</f>
        <v>-6.4899999999999993</v>
      </c>
      <c r="M10" s="4">
        <f>AVERAGE(J10:K10,L10*0.5)</f>
        <v>-2.984999999999999</v>
      </c>
      <c r="N10" s="4">
        <f t="shared" si="0"/>
        <v>-2.9749999999999979</v>
      </c>
      <c r="O10" s="3">
        <v>0.70299999999999996</v>
      </c>
      <c r="P10" s="3">
        <v>5.3999999999999999E-2</v>
      </c>
      <c r="Q10" s="3">
        <v>0.03</v>
      </c>
      <c r="R10" s="3">
        <v>0.17299999999999999</v>
      </c>
      <c r="S10" s="3">
        <v>0.34100000000000003</v>
      </c>
      <c r="T10" s="3">
        <v>0.65900000000000003</v>
      </c>
    </row>
    <row r="11" spans="3:20" x14ac:dyDescent="0.3">
      <c r="C11" t="s">
        <v>11</v>
      </c>
      <c r="D11">
        <v>-3.8</v>
      </c>
      <c r="E11">
        <v>0.8</v>
      </c>
      <c r="F11">
        <v>11</v>
      </c>
      <c r="G11">
        <v>0.7</v>
      </c>
      <c r="H11">
        <v>2.9</v>
      </c>
      <c r="I11" s="4">
        <f>(F11-E11)-'VA HoD Results'!P11</f>
        <v>-1.8499999999999996</v>
      </c>
      <c r="J11" s="4">
        <f>(H11-E11)-'VA HoD Results'!Y11</f>
        <v>-2.2299999999999995</v>
      </c>
      <c r="K11">
        <f>(H11-F11)-'VA HoD Results'!AB21</f>
        <v>-0.37999999999999901</v>
      </c>
      <c r="L11">
        <f>'HOD Swing Calculator ''24'!$F$5-'VA HoD Results'!$H$5</f>
        <v>-6.4899999999999993</v>
      </c>
      <c r="M11" s="4">
        <f>AVERAGE(I11:K11)</f>
        <v>-1.4866666666666661</v>
      </c>
      <c r="N11" s="4">
        <f t="shared" si="0"/>
        <v>-5.0766666666666662</v>
      </c>
      <c r="O11" s="3">
        <v>0.78800000000000003</v>
      </c>
      <c r="P11" s="3">
        <v>3.2000000000000001E-2</v>
      </c>
      <c r="Q11" s="3">
        <v>9.2999999999999999E-2</v>
      </c>
      <c r="R11" s="3">
        <v>4.2000000000000003E-2</v>
      </c>
      <c r="S11" s="3">
        <v>0.48</v>
      </c>
      <c r="T11" s="3">
        <v>0.52</v>
      </c>
    </row>
    <row r="12" spans="3:20" x14ac:dyDescent="0.3">
      <c r="C12" t="s">
        <v>12</v>
      </c>
      <c r="D12">
        <v>10.3</v>
      </c>
      <c r="E12">
        <v>3.5</v>
      </c>
      <c r="F12">
        <v>19.5</v>
      </c>
      <c r="G12" t="s">
        <v>14</v>
      </c>
      <c r="H12">
        <v>8.3000000000000007</v>
      </c>
      <c r="I12" s="4">
        <f>(F12-E12)-'VA HoD Results'!P12</f>
        <v>3.9500000000000011</v>
      </c>
      <c r="J12" s="4">
        <f>(H12-E12)-'VA HoD Results'!Y12</f>
        <v>0.47000000000000153</v>
      </c>
      <c r="K12">
        <f>(H12-F12)-'VA HoD Results'!AB26</f>
        <v>-3.4799999999999986</v>
      </c>
      <c r="L12">
        <f>'HOD Swing Calculator ''24'!$F$5-'VA HoD Results'!$H$5</f>
        <v>-6.4899999999999993</v>
      </c>
      <c r="M12" s="4">
        <f>AVERAGE(I12*0.5,J12,K12*0.5)</f>
        <v>0.2350000000000009</v>
      </c>
      <c r="N12" s="4">
        <f t="shared" si="0"/>
        <v>2.0450000000000026</v>
      </c>
      <c r="O12" s="3">
        <v>0.52200000000000002</v>
      </c>
      <c r="P12" s="3">
        <v>0.39900000000000002</v>
      </c>
      <c r="Q12" s="3">
        <v>0.01</v>
      </c>
      <c r="R12" s="3">
        <v>3.7999999999999999E-2</v>
      </c>
      <c r="S12" s="3">
        <v>0.185</v>
      </c>
      <c r="T12" s="3">
        <v>0.81499999999999995</v>
      </c>
    </row>
    <row r="13" spans="3:20" x14ac:dyDescent="0.3">
      <c r="C13" t="s">
        <v>16</v>
      </c>
      <c r="D13">
        <v>9.1</v>
      </c>
      <c r="E13">
        <v>2.2999999999999998</v>
      </c>
      <c r="F13">
        <v>15.9</v>
      </c>
      <c r="G13">
        <v>9</v>
      </c>
      <c r="H13">
        <v>11.7</v>
      </c>
      <c r="I13" s="4">
        <f>(F13-E13)-'VA HoD Results'!P13</f>
        <v>1.5500000000000025</v>
      </c>
      <c r="J13" s="4">
        <f>(H13-E13)-'VA HoD Results'!Y13</f>
        <v>5.0699999999999994</v>
      </c>
      <c r="K13">
        <f>(H13-F13)-'VA HoD Results'!AB28</f>
        <v>3.5199999999999996</v>
      </c>
      <c r="L13">
        <f>'HOD Swing Calculator ''24'!$F$5-'VA HoD Results'!$H$5</f>
        <v>-6.4899999999999993</v>
      </c>
      <c r="M13" s="4">
        <f>AVERAGE(I13:K13)</f>
        <v>3.3800000000000003</v>
      </c>
      <c r="N13" s="4">
        <f t="shared" si="0"/>
        <v>8.59</v>
      </c>
      <c r="O13" s="3">
        <v>0.61899999999999999</v>
      </c>
      <c r="P13" s="3">
        <v>0.253</v>
      </c>
      <c r="Q13" s="3">
        <v>2.1999999999999999E-2</v>
      </c>
      <c r="R13" s="3">
        <v>0.05</v>
      </c>
      <c r="S13" s="3">
        <v>0.38</v>
      </c>
      <c r="T13" s="3">
        <v>0.62</v>
      </c>
    </row>
    <row r="14" spans="3:20" x14ac:dyDescent="0.3">
      <c r="C14" t="s">
        <v>17</v>
      </c>
      <c r="D14">
        <v>1.3</v>
      </c>
      <c r="E14">
        <v>-5.4</v>
      </c>
      <c r="F14">
        <v>3.5</v>
      </c>
      <c r="G14">
        <v>2</v>
      </c>
      <c r="H14">
        <v>-9.4</v>
      </c>
      <c r="I14" s="4">
        <f>(F14-E14)-'VA HoD Results'!P14</f>
        <v>-3.1499999999999986</v>
      </c>
      <c r="J14" s="4">
        <f>(H14-E14)-'VA HoD Results'!Y14</f>
        <v>-8.3299999999999983</v>
      </c>
      <c r="K14">
        <f>(H14-F14)-'VA HoD Results'!AB8</f>
        <v>-5.18</v>
      </c>
      <c r="L14">
        <f>'HOD Swing Calculator ''24'!$F$5-'VA HoD Results'!$H$5</f>
        <v>-6.4899999999999993</v>
      </c>
      <c r="M14" s="4">
        <f>AVERAGE(I14,J14,K14*0.4)</f>
        <v>-4.5173333333333323</v>
      </c>
      <c r="N14" s="4">
        <f t="shared" si="0"/>
        <v>-20.407333333333334</v>
      </c>
      <c r="O14" s="3">
        <v>0.61299999999999999</v>
      </c>
      <c r="P14" s="3">
        <v>8.5000000000000006E-2</v>
      </c>
      <c r="Q14" s="3">
        <v>0.20399999999999999</v>
      </c>
      <c r="R14" s="3">
        <v>4.9000000000000002E-2</v>
      </c>
      <c r="S14" s="3">
        <v>0.66799999999999993</v>
      </c>
      <c r="T14" s="3">
        <v>0.33200000000000002</v>
      </c>
    </row>
    <row r="15" spans="3:20" x14ac:dyDescent="0.3">
      <c r="C15" t="s">
        <v>18</v>
      </c>
      <c r="D15">
        <v>8.8000000000000007</v>
      </c>
      <c r="E15">
        <v>0.7</v>
      </c>
      <c r="F15">
        <v>13.8</v>
      </c>
      <c r="G15">
        <v>9</v>
      </c>
      <c r="H15">
        <v>1.9</v>
      </c>
      <c r="I15" s="4">
        <f>(F15-E15)-'VA HoD Results'!P15</f>
        <v>1.0500000000000025</v>
      </c>
      <c r="J15" s="4">
        <f>(H15-E15)-'VA HoD Results'!Y15</f>
        <v>-3.129999999999999</v>
      </c>
      <c r="K15">
        <f>(H15-F15)-'VA HoD Results'!AB19</f>
        <v>-4.18</v>
      </c>
      <c r="L15">
        <f>'HOD Swing Calculator ''24'!$F$5-'VA HoD Results'!$H$5</f>
        <v>-6.4899999999999993</v>
      </c>
      <c r="M15" s="4">
        <f>AVERAGE(I15*0.4,J15,K15*0.5)</f>
        <v>-1.5999999999999994</v>
      </c>
      <c r="N15" s="4">
        <f t="shared" si="0"/>
        <v>-6.1899999999999977</v>
      </c>
      <c r="O15" s="3">
        <v>0.55900000000000005</v>
      </c>
      <c r="P15" s="3">
        <v>0.184</v>
      </c>
      <c r="Q15" s="3">
        <v>3.7999999999999999E-2</v>
      </c>
      <c r="R15" s="3">
        <v>0.14299999999999999</v>
      </c>
      <c r="S15" s="3">
        <v>0.44500000000000001</v>
      </c>
      <c r="T15" s="3">
        <v>0.55500000000000005</v>
      </c>
    </row>
    <row r="16" spans="3:20" x14ac:dyDescent="0.3">
      <c r="C16" s="2" t="s">
        <v>19</v>
      </c>
      <c r="D16">
        <v>-4.4000000000000004</v>
      </c>
      <c r="E16">
        <v>-11.7</v>
      </c>
      <c r="F16">
        <v>2.8</v>
      </c>
      <c r="G16">
        <v>-6</v>
      </c>
      <c r="H16">
        <v>-9.5</v>
      </c>
      <c r="I16" s="4">
        <f>(F16-E16)-'VA HoD Results'!P16</f>
        <v>2.4500000000000011</v>
      </c>
      <c r="J16" s="4">
        <f>(H16-E16)-'VA HoD Results'!Y16</f>
        <v>-2.13</v>
      </c>
      <c r="K16">
        <f>(H16-F16)-'VA HoD Results'!AB7</f>
        <v>-4.58</v>
      </c>
      <c r="L16">
        <f>'HOD Swing Calculator ''24'!$F$5-'VA HoD Results'!$H$5</f>
        <v>-6.4899999999999993</v>
      </c>
      <c r="M16" s="4">
        <f>AVERAGE(0.5*I16,J16:K16)</f>
        <v>-1.8283333333333331</v>
      </c>
      <c r="N16" s="4">
        <f t="shared" si="0"/>
        <v>-17.818333333333332</v>
      </c>
      <c r="O16" s="3">
        <v>0.58699999999999997</v>
      </c>
      <c r="P16" s="3">
        <v>0.17799999999999999</v>
      </c>
      <c r="Q16" s="3">
        <v>3.9E-2</v>
      </c>
      <c r="R16" s="3">
        <v>0.12</v>
      </c>
      <c r="S16" s="3">
        <v>0.42100000000000004</v>
      </c>
      <c r="T16" s="3">
        <v>0.57899999999999996</v>
      </c>
    </row>
    <row r="17" spans="3:20" x14ac:dyDescent="0.3">
      <c r="C17" t="s">
        <v>20</v>
      </c>
      <c r="D17">
        <v>2.5</v>
      </c>
      <c r="E17">
        <v>0.8</v>
      </c>
      <c r="F17">
        <v>12.6</v>
      </c>
      <c r="G17">
        <v>11.5</v>
      </c>
      <c r="H17">
        <v>2.4</v>
      </c>
      <c r="I17" s="4">
        <f>(F17-E17)-'VA HoD Results'!P17</f>
        <v>-0.25</v>
      </c>
      <c r="J17" s="4">
        <f>(H17-E17)-'VA HoD Results'!Y17</f>
        <v>-2.7299999999999995</v>
      </c>
      <c r="K17">
        <f>(H17-F17)-'VA HoD Results'!AB20</f>
        <v>-2.4799999999999986</v>
      </c>
      <c r="L17">
        <f>'HOD Swing Calculator ''24'!$F$5-'VA HoD Results'!$H$5</f>
        <v>-6.4899999999999993</v>
      </c>
      <c r="M17" s="4">
        <f>AVERAGE(I17,J17,K17)</f>
        <v>-1.8199999999999994</v>
      </c>
      <c r="N17" s="4">
        <f t="shared" si="0"/>
        <v>-5.9099999999999984</v>
      </c>
      <c r="O17" s="3">
        <v>0.58899999999999997</v>
      </c>
      <c r="P17" s="3">
        <v>0.21199999999999999</v>
      </c>
      <c r="Q17" s="3">
        <v>2.5999999999999999E-2</v>
      </c>
      <c r="R17" s="3">
        <v>0.10100000000000001</v>
      </c>
      <c r="S17" s="3">
        <v>0.32100000000000001</v>
      </c>
      <c r="T17" s="3">
        <v>0.67799999999999994</v>
      </c>
    </row>
    <row r="18" spans="3:20" x14ac:dyDescent="0.3">
      <c r="C18" t="s">
        <v>21</v>
      </c>
      <c r="D18">
        <v>5</v>
      </c>
      <c r="E18">
        <v>1.8</v>
      </c>
      <c r="F18">
        <v>12.7</v>
      </c>
      <c r="G18" t="s">
        <v>14</v>
      </c>
      <c r="H18">
        <v>1.6</v>
      </c>
      <c r="I18" s="4">
        <f>(F18-E18)-'VA HoD Results'!P18</f>
        <v>-1.1500000000000004</v>
      </c>
      <c r="J18" s="4">
        <f>(H18-E18)-'VA HoD Results'!Y18</f>
        <v>-4.5299999999999994</v>
      </c>
      <c r="K18">
        <f>(H18-F18)-'VA HoD Results'!AB18</f>
        <v>-3.379999999999999</v>
      </c>
      <c r="L18">
        <f>'HOD Swing Calculator ''24'!$F$5-'VA HoD Results'!$H$5</f>
        <v>-6.4899999999999993</v>
      </c>
      <c r="M18">
        <f>AVERAGE(I18,J18,K18*0.5)</f>
        <v>-2.4566666666666666</v>
      </c>
      <c r="N18" s="4">
        <f t="shared" si="0"/>
        <v>-7.3466666666666658</v>
      </c>
      <c r="O18" s="3">
        <v>0.67</v>
      </c>
      <c r="P18" s="3">
        <v>0.15</v>
      </c>
      <c r="Q18" s="3">
        <v>3.5999999999999997E-2</v>
      </c>
      <c r="R18" s="3">
        <v>0.08</v>
      </c>
      <c r="S18" s="3">
        <v>0.441</v>
      </c>
      <c r="T18" s="3">
        <v>0.55899999999999994</v>
      </c>
    </row>
    <row r="19" spans="3:20" x14ac:dyDescent="0.3">
      <c r="C19" t="s">
        <v>22</v>
      </c>
      <c r="D19">
        <v>-0.8</v>
      </c>
      <c r="E19">
        <v>-3.2</v>
      </c>
      <c r="F19">
        <v>7.4</v>
      </c>
      <c r="G19">
        <v>1.9</v>
      </c>
      <c r="H19">
        <v>-4.9000000000000004</v>
      </c>
      <c r="I19" s="4">
        <f>(F19-E19)-'VA HoD Results'!P19</f>
        <v>-1.4499999999999975</v>
      </c>
      <c r="J19" s="4">
        <f>(H19-E19)-'VA HoD Results'!Y19</f>
        <v>-6.0299999999999994</v>
      </c>
      <c r="K19">
        <f>(H19-F19)-'VA HoD Results'!AB11</f>
        <v>-4.58</v>
      </c>
      <c r="L19">
        <f>'HOD Swing Calculator ''24'!$F$5-'VA HoD Results'!$H$5</f>
        <v>-6.4899999999999993</v>
      </c>
      <c r="M19" s="4">
        <f>AVERAGE(I19,J19,K19*0.4)</f>
        <v>-3.1039999999999992</v>
      </c>
      <c r="N19" s="4">
        <f t="shared" si="0"/>
        <v>-14.493999999999998</v>
      </c>
      <c r="O19" s="3">
        <v>0.68700000000000006</v>
      </c>
      <c r="P19" s="3">
        <v>0.16900000000000001</v>
      </c>
      <c r="Q19" s="3">
        <v>2.8000000000000001E-2</v>
      </c>
      <c r="R19" s="3">
        <v>5.8999999999999997E-2</v>
      </c>
      <c r="S19" s="3">
        <v>0.47799999999999998</v>
      </c>
      <c r="T19" s="3">
        <v>0.52200000000000002</v>
      </c>
    </row>
    <row r="20" spans="3:20" x14ac:dyDescent="0.3">
      <c r="C20" t="s">
        <v>23</v>
      </c>
      <c r="D20">
        <v>9.6999999999999993</v>
      </c>
      <c r="E20">
        <v>7.1</v>
      </c>
      <c r="F20">
        <v>15.2</v>
      </c>
      <c r="G20">
        <v>9</v>
      </c>
      <c r="H20">
        <v>-1.1000000000000001</v>
      </c>
      <c r="I20" s="4">
        <f>(F20-E20)-'VA HoD Results'!P20</f>
        <v>-3.9499999999999993</v>
      </c>
      <c r="J20" s="4">
        <f>(H20-E20)-'VA HoD Results'!Y20</f>
        <v>-12.529999999999998</v>
      </c>
      <c r="K20">
        <f>(H20-F20)-'VA HoD Results'!AB15</f>
        <v>-8.58</v>
      </c>
      <c r="L20">
        <f>'HOD Swing Calculator ''24'!$F$5-'VA HoD Results'!$H$5</f>
        <v>-6.4899999999999993</v>
      </c>
      <c r="M20" s="4">
        <f>AVERAGE(I20,J20,0.3*K20)</f>
        <v>-6.3513333333333319</v>
      </c>
      <c r="N20" s="4">
        <f t="shared" si="0"/>
        <v>-13.941333333333331</v>
      </c>
      <c r="O20" s="3">
        <v>0.755</v>
      </c>
      <c r="P20" s="3">
        <v>9.2999999999999999E-2</v>
      </c>
      <c r="Q20" s="3">
        <v>5.0999999999999997E-2</v>
      </c>
      <c r="R20" s="3">
        <v>0.05</v>
      </c>
      <c r="S20" s="3">
        <v>0.57799999999999996</v>
      </c>
      <c r="T20" s="3">
        <v>0.42200000000000004</v>
      </c>
    </row>
    <row r="21" spans="3:20" x14ac:dyDescent="0.3">
      <c r="C21" t="s">
        <v>24</v>
      </c>
      <c r="D21">
        <v>15.4</v>
      </c>
      <c r="E21">
        <v>13.3</v>
      </c>
      <c r="F21">
        <v>22.8</v>
      </c>
      <c r="G21" t="s">
        <v>14</v>
      </c>
      <c r="H21">
        <v>8.3000000000000007</v>
      </c>
      <c r="I21" s="4">
        <f>(F21-E21)-'VA HoD Results'!P21</f>
        <v>-2.5499999999999989</v>
      </c>
      <c r="J21" s="4">
        <f>(H21-E21)-'VA HoD Results'!Y21</f>
        <v>-9.3299999999999983</v>
      </c>
      <c r="K21">
        <f>(H21-F21)-'VA HoD Results'!AB27</f>
        <v>-6.7799999999999994</v>
      </c>
      <c r="L21">
        <f>'HOD Swing Calculator ''24'!$F$5-'VA HoD Results'!$H$5</f>
        <v>-6.4899999999999993</v>
      </c>
      <c r="M21" s="4">
        <f>AVERAGE(I21,J21,K21*0.4)</f>
        <v>-4.863999999999999</v>
      </c>
      <c r="N21" s="4">
        <f t="shared" si="0"/>
        <v>-3.0539999999999985</v>
      </c>
      <c r="O21" s="3">
        <v>0.59899999999999998</v>
      </c>
      <c r="P21" s="3">
        <v>0.25800000000000001</v>
      </c>
      <c r="Q21" s="3">
        <v>2.1999999999999999E-2</v>
      </c>
      <c r="R21" s="3">
        <v>6.4000000000000001E-2</v>
      </c>
      <c r="S21" s="3">
        <v>0.46399999999999997</v>
      </c>
      <c r="T21" s="3">
        <v>0.63600000000000001</v>
      </c>
    </row>
    <row r="22" spans="3:20" x14ac:dyDescent="0.3">
      <c r="C22" t="s">
        <v>25</v>
      </c>
      <c r="D22">
        <v>3</v>
      </c>
      <c r="E22">
        <v>-5.0999999999999996</v>
      </c>
      <c r="F22">
        <v>7.5</v>
      </c>
      <c r="G22">
        <v>5.8</v>
      </c>
      <c r="H22">
        <v>-6.6</v>
      </c>
      <c r="I22" s="4">
        <f>(F22-E22)-'VA HoD Results'!P22</f>
        <v>0.55000000000000071</v>
      </c>
      <c r="J22" s="4">
        <f>(H22-E22)-'VA HoD Results'!Y22</f>
        <v>-5.8299999999999992</v>
      </c>
      <c r="K22">
        <f>(H22-F22)-'VA HoD Results'!AB10</f>
        <v>-6.379999999999999</v>
      </c>
      <c r="L22">
        <f>'HOD Swing Calculator ''24'!$F$5-'VA HoD Results'!$H$5</f>
        <v>-6.4899999999999993</v>
      </c>
      <c r="M22" s="4">
        <f>AVERAGE(I22,J22,K22*0.4)</f>
        <v>-2.610666666666666</v>
      </c>
      <c r="N22" s="4">
        <f t="shared" si="0"/>
        <v>-15.700666666666665</v>
      </c>
      <c r="O22" s="3">
        <v>0.47499999999999998</v>
      </c>
      <c r="P22" s="3">
        <v>0.32700000000000001</v>
      </c>
      <c r="Q22" s="3">
        <v>2.8000000000000001E-2</v>
      </c>
      <c r="R22" s="3">
        <v>0.113</v>
      </c>
      <c r="S22" s="3">
        <v>0.26100000000000001</v>
      </c>
      <c r="T22" s="3">
        <v>0.7390000000000001</v>
      </c>
    </row>
    <row r="23" spans="3:20" x14ac:dyDescent="0.3">
      <c r="C23" t="s">
        <v>26</v>
      </c>
      <c r="D23">
        <v>-12.9</v>
      </c>
      <c r="E23">
        <v>-10.7</v>
      </c>
      <c r="F23">
        <v>2.1</v>
      </c>
      <c r="G23">
        <v>0.3</v>
      </c>
      <c r="H23">
        <v>-4.2</v>
      </c>
      <c r="I23" s="4">
        <f>(F23-E23)-'VA HoD Results'!P23</f>
        <v>0.75</v>
      </c>
      <c r="J23" s="4">
        <f>(H23-E23)-'VA HoD Results'!Y23</f>
        <v>2.17</v>
      </c>
      <c r="K23">
        <f>(H23-F23)-'VA HoD Results'!AB12</f>
        <v>1.42</v>
      </c>
      <c r="L23">
        <f>'HOD Swing Calculator ''24'!$F$5-'VA HoD Results'!$H$5</f>
        <v>-6.4899999999999993</v>
      </c>
      <c r="M23" s="4">
        <f>AVERAGE(I23,J23,K23)</f>
        <v>1.4466666666666665</v>
      </c>
      <c r="N23" s="4">
        <f t="shared" si="0"/>
        <v>-9.2433333333333323</v>
      </c>
      <c r="O23" s="3">
        <v>0.44400000000000001</v>
      </c>
      <c r="P23" s="3">
        <v>0.45300000000000001</v>
      </c>
      <c r="Q23" s="3">
        <v>1.4E-2</v>
      </c>
      <c r="R23" s="3">
        <v>4.9000000000000002E-2</v>
      </c>
      <c r="S23" s="3">
        <v>0.24199999999999999</v>
      </c>
      <c r="T23" s="3">
        <v>0.75800000000000001</v>
      </c>
    </row>
    <row r="24" spans="3:20" x14ac:dyDescent="0.3">
      <c r="C24" t="s">
        <v>27</v>
      </c>
      <c r="D24">
        <v>1.5</v>
      </c>
      <c r="E24">
        <v>2.2000000000000002</v>
      </c>
      <c r="F24">
        <v>13.6</v>
      </c>
      <c r="G24">
        <v>16.899999999999999</v>
      </c>
      <c r="H24">
        <v>7.9</v>
      </c>
      <c r="I24" s="4">
        <f>(F24-E24)-'VA HoD Results'!P24</f>
        <v>-0.65000000000000036</v>
      </c>
      <c r="J24" s="4">
        <f>(H24-E24)-'VA HoD Results'!Y24</f>
        <v>1.370000000000001</v>
      </c>
      <c r="K24">
        <f>(H24-F24)-'VA HoD Results'!AB25</f>
        <v>2.0200000000000014</v>
      </c>
      <c r="L24">
        <f>'HOD Swing Calculator ''24'!$F$5-'VA HoD Results'!$H$5</f>
        <v>-6.4899999999999993</v>
      </c>
      <c r="M24" s="4">
        <f>AVERAGE(I24:K24)</f>
        <v>0.913333333333334</v>
      </c>
      <c r="N24" s="4">
        <f t="shared" si="0"/>
        <v>2.323333333333335</v>
      </c>
      <c r="O24" s="3">
        <v>0.52</v>
      </c>
      <c r="P24" s="3">
        <v>0.40799999999999997</v>
      </c>
      <c r="Q24" s="3">
        <v>8.9999999999999993E-3</v>
      </c>
      <c r="R24" s="3">
        <v>2.8000000000000001E-2</v>
      </c>
      <c r="S24" s="3">
        <v>0.21100000000000002</v>
      </c>
      <c r="T24" s="3">
        <v>0.78900000000000003</v>
      </c>
    </row>
    <row r="25" spans="3:20" x14ac:dyDescent="0.3">
      <c r="C25" t="s">
        <v>28</v>
      </c>
      <c r="D25">
        <v>-0.6</v>
      </c>
      <c r="E25">
        <v>-3.2</v>
      </c>
      <c r="F25">
        <v>8.9</v>
      </c>
      <c r="G25">
        <v>12.9</v>
      </c>
      <c r="H25">
        <v>-1.6</v>
      </c>
      <c r="I25" s="4">
        <f>(F25-E25)-'VA HoD Results'!P25</f>
        <v>5.0000000000002487E-2</v>
      </c>
      <c r="J25" s="4">
        <f>(H25-E25)-'VA HoD Results'!Y25</f>
        <v>-2.7299999999999991</v>
      </c>
      <c r="K25">
        <f>(H25-F25)-'VA HoD Results'!AB14</f>
        <v>-2.7799999999999994</v>
      </c>
      <c r="L25">
        <f>'HOD Swing Calculator ''24'!$F$5-'VA HoD Results'!$H$5</f>
        <v>-6.4899999999999993</v>
      </c>
      <c r="M25">
        <f>AVERAGE(I25*0.4,J25,K25)</f>
        <v>-1.8299999999999992</v>
      </c>
      <c r="N25" s="4">
        <f t="shared" si="0"/>
        <v>-9.9199999999999982</v>
      </c>
      <c r="O25" s="3">
        <v>0.58499999999999996</v>
      </c>
      <c r="P25" s="3">
        <v>0.23400000000000001</v>
      </c>
      <c r="Q25" s="3">
        <v>4.2999999999999997E-2</v>
      </c>
      <c r="R25" s="3">
        <v>6.4000000000000001E-2</v>
      </c>
      <c r="S25" s="3">
        <v>0.36299999999999999</v>
      </c>
      <c r="T25" s="3">
        <v>0.63700000000000001</v>
      </c>
    </row>
    <row r="26" spans="3:20" x14ac:dyDescent="0.3">
      <c r="C26" t="s">
        <v>29</v>
      </c>
      <c r="D26">
        <v>-5.5</v>
      </c>
      <c r="E26">
        <v>-2.7</v>
      </c>
      <c r="F26">
        <v>7.4</v>
      </c>
      <c r="G26">
        <v>1.8</v>
      </c>
      <c r="H26">
        <v>-3</v>
      </c>
      <c r="I26" s="4">
        <f>(F26-E26)-'VA HoD Results'!P26</f>
        <v>-1.9499999999999975</v>
      </c>
      <c r="J26" s="4">
        <f>(H26-E26)-'VA HoD Results'!Y26</f>
        <v>-4.629999999999999</v>
      </c>
      <c r="K26">
        <f>(H26-F26)-'VA HoD Results'!AB13</f>
        <v>-2.6799999999999997</v>
      </c>
      <c r="L26">
        <f>'HOD Swing Calculator ''24'!$F$5-'VA HoD Results'!$H$5</f>
        <v>-6.4899999999999993</v>
      </c>
      <c r="M26" s="4">
        <f>AVERAGE(I26,J26,K26*0.7)</f>
        <v>-2.8186666666666653</v>
      </c>
      <c r="N26" s="4">
        <f t="shared" si="0"/>
        <v>-12.308666666666664</v>
      </c>
      <c r="O26" s="3">
        <v>0.56699999999999995</v>
      </c>
      <c r="P26" s="3">
        <v>0.28199999999999997</v>
      </c>
      <c r="Q26" s="3">
        <v>2.9000000000000001E-2</v>
      </c>
      <c r="R26" s="3">
        <v>5.5E-2</v>
      </c>
      <c r="S26" s="3">
        <v>0.36799999999999999</v>
      </c>
      <c r="T26" s="3">
        <v>0.63200000000000001</v>
      </c>
    </row>
    <row r="27" spans="3:20" x14ac:dyDescent="0.3">
      <c r="C27" s="2" t="s">
        <v>30</v>
      </c>
      <c r="D27">
        <v>-9.3000000000000007</v>
      </c>
      <c r="E27">
        <v>-12.4</v>
      </c>
      <c r="F27">
        <v>2.1</v>
      </c>
      <c r="G27">
        <v>-4.8</v>
      </c>
      <c r="H27">
        <v>-7.8</v>
      </c>
      <c r="I27" s="4">
        <f>(F27-E27)-'VA HoD Results'!P27</f>
        <v>2.4500000000000011</v>
      </c>
      <c r="J27" s="4">
        <f>(H27-E27)-'VA HoD Results'!Y27</f>
        <v>0.27000000000000135</v>
      </c>
      <c r="K27">
        <f>(H27-F27)-'VA HoD Results'!AB9</f>
        <v>-2.1799999999999997</v>
      </c>
      <c r="L27">
        <f>'HOD Swing Calculator ''24'!$F$5-'VA HoD Results'!$H$5</f>
        <v>-6.4899999999999993</v>
      </c>
      <c r="M27" s="4">
        <f>AVERAGE(I27,J27,K27*0.4)</f>
        <v>0.61600000000000088</v>
      </c>
      <c r="N27" s="4">
        <f t="shared" si="0"/>
        <v>-13.673999999999999</v>
      </c>
      <c r="O27" s="3">
        <v>0.55700000000000005</v>
      </c>
      <c r="P27" s="3">
        <v>0.19800000000000001</v>
      </c>
      <c r="Q27" s="3">
        <v>7.1999999999999995E-2</v>
      </c>
      <c r="R27" s="3">
        <v>9.2999999999999999E-2</v>
      </c>
      <c r="S27" s="3">
        <v>0.34700000000000003</v>
      </c>
      <c r="T27" s="3">
        <v>0.65300000000000002</v>
      </c>
    </row>
    <row r="28" spans="3:20" x14ac:dyDescent="0.3">
      <c r="C28" t="s">
        <v>31</v>
      </c>
      <c r="D28">
        <v>5.7</v>
      </c>
      <c r="E28">
        <v>4.3</v>
      </c>
      <c r="F28">
        <v>17.8</v>
      </c>
      <c r="G28">
        <v>14.7</v>
      </c>
      <c r="H28">
        <v>4.8</v>
      </c>
      <c r="I28" s="4">
        <f>(F28-E28)-'VA HoD Results'!P28</f>
        <v>1.4500000000000011</v>
      </c>
      <c r="J28" s="4">
        <f>(H28-E28)-'VA HoD Results'!Y28</f>
        <v>-3.8299999999999992</v>
      </c>
      <c r="K28">
        <f>(H28-F28)-'VA HoD Results'!AB22</f>
        <v>-5.2799999999999994</v>
      </c>
      <c r="L28">
        <f>'HOD Swing Calculator ''24'!$F$5-'VA HoD Results'!$H$5</f>
        <v>-6.4899999999999993</v>
      </c>
      <c r="M28" s="4">
        <f>AVERAGE(I28*0.4,J28,K28*0.4)</f>
        <v>-1.7873333333333328</v>
      </c>
      <c r="N28" s="4">
        <f t="shared" si="0"/>
        <v>-3.4773333333333314</v>
      </c>
      <c r="O28" s="3">
        <v>0.74299999999999999</v>
      </c>
      <c r="P28" s="3">
        <v>9.4E-2</v>
      </c>
      <c r="Q28" s="3">
        <v>3.2000000000000001E-2</v>
      </c>
      <c r="R28" s="3">
        <v>7.2999999999999995E-2</v>
      </c>
      <c r="S28" s="3">
        <v>0.53400000000000003</v>
      </c>
      <c r="T28" s="3">
        <v>0.46600000000000003</v>
      </c>
    </row>
  </sheetData>
  <autoFilter ref="C6:T6" xr:uid="{6448247C-8A52-4A7E-AC61-F0098C1EA17F}"/>
  <conditionalFormatting sqref="D7:H28">
    <cfRule type="cellIs" dxfId="14" priority="9" operator="lessThanOrEqual">
      <formula>-12</formula>
    </cfRule>
    <cfRule type="cellIs" dxfId="13" priority="10" operator="between">
      <formula>-7.01</formula>
      <formula>-12</formula>
    </cfRule>
    <cfRule type="cellIs" dxfId="12" priority="11" operator="between">
      <formula>-3.51</formula>
      <formula>-7</formula>
    </cfRule>
    <cfRule type="cellIs" dxfId="11" priority="12" operator="between">
      <formula>0</formula>
      <formula>-3.5</formula>
    </cfRule>
    <cfRule type="cellIs" dxfId="10" priority="14" operator="between">
      <formula>7.01</formula>
      <formula>12</formula>
    </cfRule>
    <cfRule type="cellIs" dxfId="9" priority="15" operator="between">
      <formula>3.51</formula>
      <formula>7</formula>
    </cfRule>
    <cfRule type="cellIs" dxfId="8" priority="16" operator="between">
      <formula>0</formula>
      <formula>3.5</formula>
    </cfRule>
  </conditionalFormatting>
  <conditionalFormatting sqref="D7:N28">
    <cfRule type="cellIs" dxfId="7" priority="5" operator="greaterThan">
      <formula>12</formula>
    </cfRule>
  </conditionalFormatting>
  <conditionalFormatting sqref="I7:N28">
    <cfRule type="cellIs" dxfId="6" priority="1" operator="lessThan">
      <formula>-12</formula>
    </cfRule>
    <cfRule type="cellIs" dxfId="5" priority="2" operator="between">
      <formula>-7</formula>
      <formula>-12</formula>
    </cfRule>
    <cfRule type="cellIs" dxfId="4" priority="3" operator="between">
      <formula>-3</formula>
      <formula>-7</formula>
    </cfRule>
    <cfRule type="cellIs" dxfId="3" priority="4" operator="between">
      <formula>0</formula>
      <formula>-3</formula>
    </cfRule>
    <cfRule type="cellIs" dxfId="2" priority="6" operator="between">
      <formula>5</formula>
      <formula>12</formula>
    </cfRule>
    <cfRule type="cellIs" dxfId="1" priority="7" operator="between">
      <formula>3</formula>
      <formula>5</formula>
    </cfRule>
    <cfRule type="cellIs" dxfId="0" priority="8" operator="between">
      <formula>0</formula>
      <formula>3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8B73-9A81-4C9A-80A9-12B8001AC015}">
  <dimension ref="C3:J28"/>
  <sheetViews>
    <sheetView workbookViewId="0">
      <selection activeCell="C33" sqref="C33"/>
    </sheetView>
  </sheetViews>
  <sheetFormatPr defaultRowHeight="14.4" x14ac:dyDescent="0.3"/>
  <cols>
    <col min="3" max="3" width="13" customWidth="1"/>
    <col min="4" max="4" width="40.44140625" customWidth="1"/>
    <col min="5" max="5" width="50.44140625" customWidth="1"/>
    <col min="6" max="6" width="44.77734375" customWidth="1"/>
    <col min="7" max="7" width="31.44140625" customWidth="1"/>
    <col min="8" max="8" width="40.5546875" customWidth="1"/>
    <col min="9" max="9" width="21.77734375" customWidth="1"/>
    <col min="10" max="10" width="23.44140625" customWidth="1"/>
  </cols>
  <sheetData>
    <row r="3" spans="3:10" x14ac:dyDescent="0.3">
      <c r="I3" t="s">
        <v>65</v>
      </c>
      <c r="J3" t="s">
        <v>67</v>
      </c>
    </row>
    <row r="4" spans="3:10" x14ac:dyDescent="0.3">
      <c r="F4" t="s">
        <v>60</v>
      </c>
    </row>
    <row r="5" spans="3:10" x14ac:dyDescent="0.3">
      <c r="F5">
        <v>-12</v>
      </c>
    </row>
    <row r="6" spans="3:10" x14ac:dyDescent="0.3">
      <c r="C6" s="1" t="s">
        <v>1</v>
      </c>
      <c r="D6" s="1" t="s">
        <v>55</v>
      </c>
      <c r="E6" s="1" t="s">
        <v>56</v>
      </c>
      <c r="F6" s="1" t="s">
        <v>61</v>
      </c>
      <c r="G6" s="1" t="s">
        <v>63</v>
      </c>
      <c r="H6" s="1" t="s">
        <v>62</v>
      </c>
      <c r="I6" s="1" t="s">
        <v>64</v>
      </c>
      <c r="J6" s="1" t="s">
        <v>66</v>
      </c>
    </row>
    <row r="7" spans="3:10" x14ac:dyDescent="0.3">
      <c r="C7" t="s">
        <v>17</v>
      </c>
      <c r="D7" s="4">
        <f>AVERAGE('VA HoD Results'!K14, 'VA HoD Results'!N14, 'VA HoD Results'!Q14, 'VA HoD Results'!T14, 'VA HoD Results'!W14,  'VA HoD Results'!Z14)</f>
        <v>-5.1416666666666657</v>
      </c>
      <c r="E7">
        <f>AVERAGE('VA HoD Results'!N14, 'VA HoD Average Swing'!T14)</f>
        <v>-8.6699999999999982</v>
      </c>
      <c r="F7" s="4">
        <f>$F$5-'VA HoD Results'!$F$5</f>
        <v>-13.94</v>
      </c>
      <c r="G7" s="4">
        <f t="shared" ref="G7:G28" si="0">F7+D7</f>
        <v>-19.081666666666663</v>
      </c>
      <c r="H7" s="4">
        <f t="shared" ref="H7:H28" si="1">F7+E7</f>
        <v>-22.61</v>
      </c>
      <c r="I7" s="4">
        <f>'VA HoD Results'!F14+G7</f>
        <v>-15.581666666666663</v>
      </c>
      <c r="J7" s="4">
        <f>'VA HoD Results'!F14+'VA HoD Average Swing'!H14</f>
        <v>-8.4099999999999984</v>
      </c>
    </row>
    <row r="8" spans="3:10" x14ac:dyDescent="0.3">
      <c r="C8" s="2" t="s">
        <v>19</v>
      </c>
      <c r="D8" s="4">
        <f>AVERAGE('VA HoD Results'!K16, 'VA HoD Results'!N16, 'VA HoD Results'!Q16, 'VA HoD Results'!T16, 'VA HoD Results'!W16,  'VA HoD Results'!Z16)</f>
        <v>-2.3416666666666663</v>
      </c>
      <c r="E8">
        <f>AVERAGE('VA HoD Results'!N16, 'VA HoD Average Swing'!T16)</f>
        <v>-3.669999999999999</v>
      </c>
      <c r="F8" s="4">
        <f>$F$5-'VA HoD Results'!$F$5</f>
        <v>-13.94</v>
      </c>
      <c r="G8" s="4">
        <f t="shared" si="0"/>
        <v>-16.281666666666666</v>
      </c>
      <c r="H8" s="4">
        <f t="shared" si="1"/>
        <v>-17.61</v>
      </c>
      <c r="I8" s="4">
        <f>'VA HoD Results'!F16+G8</f>
        <v>-13.481666666666666</v>
      </c>
      <c r="J8" s="4">
        <f>'VA HoD Results'!F16+'VA HoD Average Swing'!H16</f>
        <v>-16.509999999999998</v>
      </c>
    </row>
    <row r="9" spans="3:10" x14ac:dyDescent="0.3">
      <c r="C9" s="2" t="s">
        <v>30</v>
      </c>
      <c r="D9" s="4">
        <f>AVERAGE('VA HoD Results'!K27, 'VA HoD Results'!N27, 'VA HoD Results'!Q27, 'VA HoD Results'!T27, 'VA HoD Results'!W27,  'VA HoD Results'!Z27)</f>
        <v>-0.14166666666666602</v>
      </c>
      <c r="E9">
        <f>AVERAGE('VA HoD Results'!N27, 'VA HoD Average Swing'!T27)</f>
        <v>0.53000000000000114</v>
      </c>
      <c r="F9" s="4">
        <f>$F$5-'VA HoD Results'!$F$5</f>
        <v>-13.94</v>
      </c>
      <c r="G9" s="4">
        <f t="shared" si="0"/>
        <v>-14.081666666666665</v>
      </c>
      <c r="H9" s="4">
        <f t="shared" si="1"/>
        <v>-13.409999999999998</v>
      </c>
      <c r="I9" s="4">
        <f>'VA HoD Results'!F27+G9</f>
        <v>-11.981666666666666</v>
      </c>
      <c r="J9" s="4">
        <f>'VA HoD Results'!F27+'VA HoD Average Swing'!H27</f>
        <v>-15.309999999999997</v>
      </c>
    </row>
    <row r="10" spans="3:10" x14ac:dyDescent="0.3">
      <c r="C10" t="s">
        <v>25</v>
      </c>
      <c r="D10" s="4">
        <f>AVERAGE('VA HoD Results'!K22, 'VA HoD Results'!N22, 'VA HoD Results'!Q22, 'VA HoD Results'!T22, 'VA HoD Results'!W22,  'VA HoD Results'!Z22)</f>
        <v>-4.1583333333333323</v>
      </c>
      <c r="E10">
        <f>AVERAGE('VA HoD Results'!N22, 'VA HoD Average Swing'!T22)</f>
        <v>-6.3699999999999992</v>
      </c>
      <c r="F10" s="4">
        <f>$F$5-'VA HoD Results'!$F$5</f>
        <v>-13.94</v>
      </c>
      <c r="G10" s="4">
        <f t="shared" si="0"/>
        <v>-18.098333333333333</v>
      </c>
      <c r="H10" s="4">
        <f t="shared" si="1"/>
        <v>-20.309999999999999</v>
      </c>
      <c r="I10" s="4">
        <f>'VA HoD Results'!F22+G10</f>
        <v>-10.598333333333333</v>
      </c>
      <c r="J10" s="4">
        <f>'VA HoD Results'!F22+'VA HoD Average Swing'!H22</f>
        <v>-5.2099999999999991</v>
      </c>
    </row>
    <row r="11" spans="3:10" x14ac:dyDescent="0.3">
      <c r="C11" t="s">
        <v>5</v>
      </c>
      <c r="D11" s="4">
        <f>AVERAGE('VA HoD Results'!K8, 'VA HoD Results'!N8, 'VA HoD Results'!Q8, 'VA HoD Results'!T8, 'VA HoD Results'!W8,  'VA HoD Results'!Z8)</f>
        <v>-1.6416666666666659</v>
      </c>
      <c r="E11">
        <f>AVERAGE('VA HoD Results'!N8, 'VA HoD Average Swing'!T8)</f>
        <v>-5.7699999999999987</v>
      </c>
      <c r="F11" s="4">
        <f>$F$5-'VA HoD Results'!$F$5</f>
        <v>-13.94</v>
      </c>
      <c r="G11" s="4">
        <f t="shared" si="0"/>
        <v>-15.581666666666665</v>
      </c>
      <c r="H11" s="4">
        <f t="shared" si="1"/>
        <v>-19.709999999999997</v>
      </c>
      <c r="I11" s="4">
        <f>'VA HoD Results'!F8+G11</f>
        <v>-9.8816666666666642</v>
      </c>
      <c r="J11" s="4">
        <f>'VA HoD Results'!F8+'VA HoD Average Swing'!H8</f>
        <v>-11.91</v>
      </c>
    </row>
    <row r="12" spans="3:10" x14ac:dyDescent="0.3">
      <c r="C12" t="s">
        <v>26</v>
      </c>
      <c r="D12" s="4">
        <f>AVERAGE('VA HoD Results'!K23, 'VA HoD Results'!N23, 'VA HoD Results'!Q23, 'VA HoD Results'!T23, 'VA HoD Results'!W23,  'VA HoD Results'!Z23)</f>
        <v>1.9750000000000005</v>
      </c>
      <c r="E12">
        <f>AVERAGE('VA HoD Results'!N23, 'VA HoD Average Swing'!T23)</f>
        <v>4.1300000000000008</v>
      </c>
      <c r="F12" s="4">
        <f>$F$5-'VA HoD Results'!$F$5</f>
        <v>-13.94</v>
      </c>
      <c r="G12" s="4">
        <f t="shared" si="0"/>
        <v>-11.965</v>
      </c>
      <c r="H12" s="4">
        <f t="shared" si="1"/>
        <v>-9.8099999999999987</v>
      </c>
      <c r="I12" s="4">
        <f>'VA HoD Results'!F23+G12</f>
        <v>-9.8650000000000002</v>
      </c>
      <c r="J12" s="4">
        <f>'VA HoD Results'!F23+'VA HoD Average Swing'!H23</f>
        <v>-15.909999999999998</v>
      </c>
    </row>
    <row r="13" spans="3:10" x14ac:dyDescent="0.3">
      <c r="C13" t="s">
        <v>22</v>
      </c>
      <c r="D13" s="4">
        <f>AVERAGE('VA HoD Results'!K19, 'VA HoD Results'!N19, 'VA HoD Results'!Q19, 'VA HoD Results'!T19, 'VA HoD Results'!W19,  'VA HoD Results'!Z19)</f>
        <v>-2.6583333333333328</v>
      </c>
      <c r="E13">
        <f>AVERAGE('VA HoD Results'!N19, 'VA HoD Average Swing'!T19)</f>
        <v>-2.6699999999999982</v>
      </c>
      <c r="F13" s="4">
        <f>$F$5-'VA HoD Results'!$F$5</f>
        <v>-13.94</v>
      </c>
      <c r="G13" s="4">
        <f t="shared" si="0"/>
        <v>-16.598333333333333</v>
      </c>
      <c r="H13" s="4">
        <f t="shared" si="1"/>
        <v>-16.61</v>
      </c>
      <c r="I13" s="4">
        <f>'VA HoD Results'!F19+G13</f>
        <v>-9.1983333333333324</v>
      </c>
      <c r="J13" s="4">
        <f>'VA HoD Results'!F19+'VA HoD Average Swing'!H19</f>
        <v>-7.3099999999999987</v>
      </c>
    </row>
    <row r="14" spans="3:10" x14ac:dyDescent="0.3">
      <c r="C14" t="s">
        <v>29</v>
      </c>
      <c r="D14" s="4">
        <f>AVERAGE('VA HoD Results'!K26, 'VA HoD Results'!N26, 'VA HoD Results'!Q26, 'VA HoD Results'!T26, 'VA HoD Results'!W26,  'VA HoD Results'!Z26)</f>
        <v>-0.54166666666666596</v>
      </c>
      <c r="E14">
        <f>AVERAGE('VA HoD Results'!N26, 'VA HoD Average Swing'!T26)</f>
        <v>2.0300000000000011</v>
      </c>
      <c r="F14" s="4">
        <f>$F$5-'VA HoD Results'!$F$5</f>
        <v>-13.94</v>
      </c>
      <c r="G14" s="4">
        <f t="shared" si="0"/>
        <v>-14.481666666666666</v>
      </c>
      <c r="H14" s="4">
        <f t="shared" si="1"/>
        <v>-11.909999999999998</v>
      </c>
      <c r="I14" s="4">
        <f>'VA HoD Results'!F26+G14</f>
        <v>-7.0816666666666652</v>
      </c>
      <c r="J14" s="4">
        <f>'VA HoD Results'!F26+'VA HoD Average Swing'!H26</f>
        <v>-5.01</v>
      </c>
    </row>
    <row r="15" spans="3:10" x14ac:dyDescent="0.3">
      <c r="C15" t="s">
        <v>28</v>
      </c>
      <c r="D15" s="4">
        <f>AVERAGE('VA HoD Results'!K25, 'VA HoD Results'!N25, 'VA HoD Results'!Q25, 'VA HoD Results'!T25, 'VA HoD Results'!W25,  'VA HoD Results'!Z25)</f>
        <v>-1.3749999999999993</v>
      </c>
      <c r="E15">
        <f>AVERAGE('VA HoD Results'!N25, 'VA HoD Average Swing'!T25)</f>
        <v>-1.3699999999999992</v>
      </c>
      <c r="F15" s="4">
        <f>$F$5-'VA HoD Results'!$F$5</f>
        <v>-13.94</v>
      </c>
      <c r="G15" s="4">
        <f t="shared" si="0"/>
        <v>-15.315</v>
      </c>
      <c r="H15" s="4">
        <f t="shared" si="1"/>
        <v>-15.309999999999999</v>
      </c>
      <c r="I15" s="4">
        <f>'VA HoD Results'!F25+G15</f>
        <v>-6.4149999999999991</v>
      </c>
      <c r="J15" s="4">
        <f>'VA HoD Results'!F25+'VA HoD Average Swing'!H25</f>
        <v>-3.8099999999999969</v>
      </c>
    </row>
    <row r="16" spans="3:10" x14ac:dyDescent="0.3">
      <c r="C16" t="s">
        <v>23</v>
      </c>
      <c r="D16" s="4">
        <f>AVERAGE('VA HoD Results'!K20, 'VA HoD Results'!N20, 'VA HoD Results'!Q20, 'VA HoD Results'!T20, 'VA HoD Results'!W20,  'VA HoD Results'!Z20)</f>
        <v>-5.3083333333333327</v>
      </c>
      <c r="E16">
        <f>AVERAGE('VA HoD Results'!N20, 'VA HoD Average Swing'!T20)</f>
        <v>-5.3699999999999992</v>
      </c>
      <c r="F16" s="4">
        <f>$F$5-'VA HoD Results'!$F$5</f>
        <v>-13.94</v>
      </c>
      <c r="G16" s="4">
        <f t="shared" si="0"/>
        <v>-19.248333333333331</v>
      </c>
      <c r="H16" s="4">
        <f t="shared" si="1"/>
        <v>-19.309999999999999</v>
      </c>
      <c r="I16" s="4">
        <f>'VA HoD Results'!F20+G16</f>
        <v>-4.048333333333332</v>
      </c>
      <c r="J16" s="4">
        <f>'VA HoD Results'!F20+'VA HoD Average Swing'!H20</f>
        <v>-0.10999999999999943</v>
      </c>
    </row>
    <row r="17" spans="3:10" x14ac:dyDescent="0.3">
      <c r="C17" t="s">
        <v>21</v>
      </c>
      <c r="D17" s="4">
        <f>AVERAGE('VA HoD Results'!K18, 'VA HoD Results'!N18, 'VA HoD Results'!Q18, 'VA HoD Results'!T18, 'VA HoD Results'!W18,  'VA HoD Results'!Z18)</f>
        <v>-2.7175000000000002</v>
      </c>
      <c r="E17">
        <f>AVERAGE('VA HoD Results'!N18, 'VA HoD Average Swing'!T18)</f>
        <v>-3.17</v>
      </c>
      <c r="F17" s="4">
        <f>$F$5-'VA HoD Results'!$F$5</f>
        <v>-13.94</v>
      </c>
      <c r="G17" s="4">
        <f t="shared" si="0"/>
        <v>-16.657499999999999</v>
      </c>
      <c r="H17" s="4">
        <f t="shared" si="1"/>
        <v>-17.11</v>
      </c>
      <c r="I17" s="4">
        <f>'VA HoD Results'!F18+G17</f>
        <v>-3.9574999999999996</v>
      </c>
      <c r="J17" s="4">
        <f>'VA HoD Results'!F18+'VA HoD Average Swing'!H18</f>
        <v>-7.1099999999999994</v>
      </c>
    </row>
    <row r="18" spans="3:10" x14ac:dyDescent="0.3">
      <c r="C18" t="s">
        <v>18</v>
      </c>
      <c r="D18" s="4">
        <f>AVERAGE('VA HoD Results'!K15, 'VA HoD Results'!N15, 'VA HoD Results'!Q15, 'VA HoD Results'!T15, 'VA HoD Results'!W15,  'VA HoD Results'!Z15)</f>
        <v>-3.1749999999999994</v>
      </c>
      <c r="E18">
        <f>AVERAGE('VA HoD Results'!N15, 'VA HoD Average Swing'!T15)</f>
        <v>-5.8699999999999992</v>
      </c>
      <c r="F18" s="4">
        <f>$F$5-'VA HoD Results'!$F$5</f>
        <v>-13.94</v>
      </c>
      <c r="G18" s="4">
        <f t="shared" si="0"/>
        <v>-17.114999999999998</v>
      </c>
      <c r="H18" s="4">
        <f t="shared" si="1"/>
        <v>-19.809999999999999</v>
      </c>
      <c r="I18" s="4">
        <f>'VA HoD Results'!F15+G18</f>
        <v>-3.3149999999999977</v>
      </c>
      <c r="J18" s="4">
        <f>'VA HoD Results'!F15+'VA HoD Average Swing'!H15</f>
        <v>-1.509999999999998</v>
      </c>
    </row>
    <row r="19" spans="3:10" x14ac:dyDescent="0.3">
      <c r="C19" t="s">
        <v>20</v>
      </c>
      <c r="D19" s="4">
        <f>AVERAGE('VA HoD Results'!K17, 'VA HoD Results'!N17, 'VA HoD Results'!Q17, 'VA HoD Results'!T17, 'VA HoD Results'!W17,  'VA HoD Results'!Z17)</f>
        <v>-1.1249999999999998</v>
      </c>
      <c r="E19">
        <f>AVERAGE('VA HoD Results'!N17, 'VA HoD Average Swing'!T17)</f>
        <v>-0.76999999999999957</v>
      </c>
      <c r="F19" s="4">
        <f>$F$5-'VA HoD Results'!$F$5</f>
        <v>-13.94</v>
      </c>
      <c r="G19" s="4">
        <f t="shared" si="0"/>
        <v>-15.065</v>
      </c>
      <c r="H19" s="4">
        <f t="shared" si="1"/>
        <v>-14.709999999999999</v>
      </c>
      <c r="I19" s="4">
        <f>'VA HoD Results'!F17+G19</f>
        <v>-2.4649999999999999</v>
      </c>
      <c r="J19" s="4">
        <f>'VA HoD Results'!F17+'VA HoD Average Swing'!H17</f>
        <v>-4.51</v>
      </c>
    </row>
    <row r="20" spans="3:10" x14ac:dyDescent="0.3">
      <c r="C20" t="s">
        <v>9</v>
      </c>
      <c r="D20" s="4">
        <f>AVERAGE('VA HoD Results'!K9, 'VA HoD Results'!N9, 'VA HoD Results'!Q9, 'VA HoD Results'!T9, 'VA HoD Results'!W9,  'VA HoD Results'!Z9)</f>
        <v>-1.6416666666666664</v>
      </c>
      <c r="E20">
        <f>AVERAGE('VA HoD Results'!N9, 'VA HoD Average Swing'!T9)</f>
        <v>-1.3699999999999992</v>
      </c>
      <c r="F20" s="4">
        <f>$F$5-'VA HoD Results'!$F$5</f>
        <v>-13.94</v>
      </c>
      <c r="G20" s="4">
        <f t="shared" si="0"/>
        <v>-15.581666666666665</v>
      </c>
      <c r="H20" s="4">
        <f t="shared" si="1"/>
        <v>-15.309999999999999</v>
      </c>
      <c r="I20" s="4">
        <f>'VA HoD Results'!F9+G20</f>
        <v>-2.0816666666666652</v>
      </c>
      <c r="J20" s="4">
        <f>'VA HoD Results'!F9+'VA HoD Average Swing'!H9</f>
        <v>9.0000000000001634E-2</v>
      </c>
    </row>
    <row r="21" spans="3:10" x14ac:dyDescent="0.3">
      <c r="C21" t="s">
        <v>11</v>
      </c>
      <c r="D21" s="4">
        <f>AVERAGE('VA HoD Results'!K11, 'VA HoD Results'!N11, 'VA HoD Results'!Q11, 'VA HoD Results'!T11, 'VA HoD Results'!W11,  'VA HoD Results'!Z11)</f>
        <v>0.87500000000000033</v>
      </c>
      <c r="E21">
        <f>AVERAGE('VA HoD Results'!N11, 'VA HoD Average Swing'!T11)</f>
        <v>3.9300000000000015</v>
      </c>
      <c r="F21" s="4">
        <f>$F$5-'VA HoD Results'!$F$5</f>
        <v>-13.94</v>
      </c>
      <c r="G21" s="4">
        <f t="shared" si="0"/>
        <v>-13.065</v>
      </c>
      <c r="H21" s="4">
        <f t="shared" si="1"/>
        <v>-10.009999999999998</v>
      </c>
      <c r="I21" s="4">
        <f>'VA HoD Results'!F11+G21</f>
        <v>-2.0649999999999995</v>
      </c>
      <c r="J21" s="4">
        <f>'VA HoD Results'!F11+'VA HoD Average Swing'!H11</f>
        <v>-8.7099999999999973</v>
      </c>
    </row>
    <row r="22" spans="3:10" x14ac:dyDescent="0.3">
      <c r="C22" t="s">
        <v>27</v>
      </c>
      <c r="D22" s="4">
        <f>AVERAGE('VA HoD Results'!K24, 'VA HoD Results'!N24, 'VA HoD Results'!Q24, 'VA HoD Results'!T24, 'VA HoD Results'!W24,  'VA HoD Results'!Z24)</f>
        <v>0.97500000000000042</v>
      </c>
      <c r="E22">
        <f>AVERAGE('VA HoD Results'!N24, 'VA HoD Average Swing'!T24)</f>
        <v>1.2300000000000004</v>
      </c>
      <c r="F22" s="4">
        <f>$F$5-'VA HoD Results'!$F$5</f>
        <v>-13.94</v>
      </c>
      <c r="G22" s="4">
        <f t="shared" si="0"/>
        <v>-12.965</v>
      </c>
      <c r="H22" s="4">
        <f t="shared" si="1"/>
        <v>-12.709999999999999</v>
      </c>
      <c r="I22" s="4">
        <f>'VA HoD Results'!F24+G22</f>
        <v>0.63499999999999979</v>
      </c>
      <c r="J22" s="4">
        <f>'VA HoD Results'!F24+'VA HoD Average Swing'!H24</f>
        <v>2.7900000000000027</v>
      </c>
    </row>
    <row r="23" spans="3:10" x14ac:dyDescent="0.3">
      <c r="C23" t="s">
        <v>16</v>
      </c>
      <c r="D23" s="4">
        <f>AVERAGE('VA HoD Results'!K13, 'VA HoD Results'!N13, 'VA HoD Results'!Q13, 'VA HoD Results'!T13, 'VA HoD Results'!W13,  'VA HoD Results'!Z13)</f>
        <v>7.5000000000000469E-2</v>
      </c>
      <c r="E23">
        <f>AVERAGE('VA HoD Results'!N13, 'VA HoD Average Swing'!T13)</f>
        <v>-4.0699999999999985</v>
      </c>
      <c r="F23" s="4">
        <f>$F$5-'VA HoD Results'!$F$5</f>
        <v>-13.94</v>
      </c>
      <c r="G23" s="4">
        <f t="shared" si="0"/>
        <v>-13.864999999999998</v>
      </c>
      <c r="H23" s="4">
        <f t="shared" si="1"/>
        <v>-18.009999999999998</v>
      </c>
      <c r="I23" s="4">
        <f>'VA HoD Results'!F13+G23</f>
        <v>2.0350000000000019</v>
      </c>
      <c r="J23" s="4">
        <f>'VA HoD Results'!F13+'VA HoD Average Swing'!H13</f>
        <v>-0.70999999999999908</v>
      </c>
    </row>
    <row r="24" spans="3:10" x14ac:dyDescent="0.3">
      <c r="C24" t="s">
        <v>32</v>
      </c>
      <c r="D24" s="4">
        <f>AVERAGE('VA HoD Results'!K7, 'VA HoD Results'!N7, 'VA HoD Results'!Q7, 'VA HoD Results'!T7, 'VA HoD Results'!W7,  'VA HoD Results'!Z7)</f>
        <v>-0.29166666666666563</v>
      </c>
      <c r="E24">
        <f>AVERAGE('VA HoD Results'!N7, 'VA HoD Average Swing'!T7)</f>
        <v>3.1300000000000026</v>
      </c>
      <c r="F24" s="4">
        <f>$F$5-'VA HoD Results'!$F$5</f>
        <v>-13.94</v>
      </c>
      <c r="G24" s="4">
        <f t="shared" si="0"/>
        <v>-14.231666666666666</v>
      </c>
      <c r="H24" s="4">
        <f t="shared" si="1"/>
        <v>-10.809999999999997</v>
      </c>
      <c r="I24" s="4">
        <f>'VA HoD Results'!F7+G24</f>
        <v>2.3683333333333358</v>
      </c>
      <c r="J24" s="4">
        <f>'VA HoD Results'!F7+'VA HoD Average Swing'!H7</f>
        <v>-6.009999999999998</v>
      </c>
    </row>
    <row r="25" spans="3:10" x14ac:dyDescent="0.3">
      <c r="C25" t="s">
        <v>31</v>
      </c>
      <c r="D25" s="4">
        <f>AVERAGE('VA HoD Results'!K28, 'VA HoD Results'!N28, 'VA HoD Results'!Q28, 'VA HoD Results'!T28, 'VA HoD Results'!W28,  'VA HoD Results'!Z28)</f>
        <v>-1.1083333333333327</v>
      </c>
      <c r="E25">
        <f>AVERAGE('VA HoD Results'!N28, 'VA HoD Average Swing'!T28)</f>
        <v>1.2300000000000022</v>
      </c>
      <c r="F25" s="4">
        <f>$F$5-'VA HoD Results'!$F$5</f>
        <v>-13.94</v>
      </c>
      <c r="G25" s="4">
        <f t="shared" si="0"/>
        <v>-15.048333333333332</v>
      </c>
      <c r="H25" s="4">
        <f t="shared" si="1"/>
        <v>-12.709999999999997</v>
      </c>
      <c r="I25" s="4">
        <f>'VA HoD Results'!F28+G25</f>
        <v>2.7516666666666687</v>
      </c>
      <c r="J25" s="4">
        <f>'VA HoD Results'!F28+'VA HoD Average Swing'!H28</f>
        <v>2.1900000000000013</v>
      </c>
    </row>
    <row r="26" spans="3:10" x14ac:dyDescent="0.3">
      <c r="C26" t="s">
        <v>10</v>
      </c>
      <c r="D26" s="4">
        <f>AVERAGE('VA HoD Results'!K10, 'VA HoD Results'!N10, 'VA HoD Results'!Q10, 'VA HoD Results'!T10, 'VA HoD Results'!W10,  'VA HoD Results'!Z10)</f>
        <v>-0.44166666666666626</v>
      </c>
      <c r="E26">
        <f>AVERAGE('VA HoD Results'!N10, 'VA HoD Average Swing'!T10)</f>
        <v>1.5299999999999994</v>
      </c>
      <c r="F26" s="4">
        <f>$F$5-'VA HoD Results'!$F$5</f>
        <v>-13.94</v>
      </c>
      <c r="G26" s="4">
        <f t="shared" si="0"/>
        <v>-14.381666666666666</v>
      </c>
      <c r="H26" s="4">
        <f t="shared" si="1"/>
        <v>-12.41</v>
      </c>
      <c r="I26" s="4">
        <f>'VA HoD Results'!F10+G26</f>
        <v>3.5183333333333326</v>
      </c>
      <c r="J26" s="4">
        <f>'VA HoD Results'!F10+'VA HoD Average Swing'!H10</f>
        <v>-2.41</v>
      </c>
    </row>
    <row r="27" spans="3:10" x14ac:dyDescent="0.3">
      <c r="C27" t="s">
        <v>24</v>
      </c>
      <c r="D27" s="4">
        <f>AVERAGE('VA HoD Results'!K21, 'VA HoD Results'!N21, 'VA HoD Results'!Q21, 'VA HoD Results'!T21, 'VA HoD Results'!W21,  'VA HoD Results'!Z21)</f>
        <v>-4.067499999999999</v>
      </c>
      <c r="E27">
        <f>AVERAGE('VA HoD Results'!N21, 'VA HoD Average Swing'!T21)</f>
        <v>-3.4699999999999989</v>
      </c>
      <c r="F27" s="4">
        <f>$F$5-'VA HoD Results'!$F$5</f>
        <v>-13.94</v>
      </c>
      <c r="G27" s="4">
        <f t="shared" si="0"/>
        <v>-18.0075</v>
      </c>
      <c r="H27" s="4">
        <f t="shared" si="1"/>
        <v>-17.409999999999997</v>
      </c>
      <c r="I27" s="4">
        <f>'VA HoD Results'!F21+G27</f>
        <v>4.7925000000000004</v>
      </c>
      <c r="J27" s="4">
        <f>'VA HoD Results'!F21+'VA HoD Average Swing'!H21</f>
        <v>12.790000000000003</v>
      </c>
    </row>
    <row r="28" spans="3:10" x14ac:dyDescent="0.3">
      <c r="C28" t="s">
        <v>12</v>
      </c>
      <c r="D28" s="4">
        <f>AVERAGE('VA HoD Results'!K12, 'VA HoD Results'!N12, 'VA HoD Results'!Q12, 'VA HoD Results'!T12, 'VA HoD Results'!W12,  'VA HoD Results'!Z12)</f>
        <v>-0.71749999999999958</v>
      </c>
      <c r="E28">
        <f>AVERAGE('VA HoD Results'!N12, 'VA HoD Average Swing'!T12)</f>
        <v>-1.67</v>
      </c>
      <c r="F28" s="4">
        <f>$F$5-'VA HoD Results'!$F$5</f>
        <v>-13.94</v>
      </c>
      <c r="G28" s="4">
        <f t="shared" si="0"/>
        <v>-14.657499999999999</v>
      </c>
      <c r="H28" s="4">
        <f t="shared" si="1"/>
        <v>-15.61</v>
      </c>
      <c r="I28" s="4">
        <f>'VA HoD Results'!F12+G28</f>
        <v>4.8425000000000011</v>
      </c>
      <c r="J28" s="4">
        <f>'VA HoD Results'!F12+'VA HoD Average Swing'!H12</f>
        <v>9.6900000000000013</v>
      </c>
    </row>
  </sheetData>
  <autoFilter ref="C6:J6" xr:uid="{0BDF8B73-9A81-4C9A-80A9-12B8001AC015}">
    <sortState xmlns:xlrd2="http://schemas.microsoft.com/office/spreadsheetml/2017/richdata2" ref="C7:J28">
      <sortCondition ref="I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 HoD Results</vt:lpstr>
      <vt:lpstr>HOD Swing Calculator '21</vt:lpstr>
      <vt:lpstr>HoD Incumbency Calculator</vt:lpstr>
      <vt:lpstr>Final Calculator</vt:lpstr>
      <vt:lpstr>Bibliography</vt:lpstr>
      <vt:lpstr>$Divider Sheet$</vt:lpstr>
      <vt:lpstr>HOD Swing Calculator '24</vt:lpstr>
      <vt:lpstr>VA HoD Average Swing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2025-07-21T23:02:25Z</dcterms:created>
  <dcterms:modified xsi:type="dcterms:W3CDTF">2025-11-04T22:27:21Z</dcterms:modified>
</cp:coreProperties>
</file>